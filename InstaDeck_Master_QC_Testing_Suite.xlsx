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Ringkasan &amp; Dashboard QC" sheetId="1" state="visible" r:id="rId1"/>
    <sheet xmlns:r="http://schemas.openxmlformats.org/officeDocument/2006/relationships" name="📋 Master Checklist QC" sheetId="2" state="visible" r:id="rId2"/>
    <sheet xmlns:r="http://schemas.openxmlformats.org/officeDocument/2006/relationships" name="📱 Khusus Pengujian Mobile" sheetId="3" state="visible" r:id="rId3"/>
  </sheets>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29">
    <font>
      <name val="Calibri"/>
      <family val="2"/>
      <color theme="1"/>
      <sz val="11"/>
      <scheme val="minor"/>
    </font>
    <font>
      <name val="Calibri"/>
      <b val="1"/>
      <color rgb="001E293B"/>
      <sz val="18"/>
    </font>
    <font>
      <name val="Calibri"/>
      <i val="1"/>
      <color rgb="0064748B"/>
      <sz val="11"/>
    </font>
    <font>
      <name val="Calibri"/>
      <b val="1"/>
      <color rgb="001E293B"/>
      <sz val="10"/>
    </font>
    <font>
      <name val="Calibri"/>
      <color rgb="00334155"/>
      <sz val="10"/>
    </font>
    <font>
      <name val="Calibri"/>
      <b val="1"/>
      <color rgb="00059669"/>
      <sz val="10"/>
    </font>
    <font>
      <name val="Calibri"/>
      <b val="1"/>
      <color rgb="004F46E5"/>
      <sz val="9"/>
    </font>
    <font>
      <name val="Calibri"/>
      <b val="1"/>
      <color rgb="004F46E5"/>
      <sz val="20"/>
    </font>
    <font>
      <name val="Calibri"/>
      <b val="1"/>
      <color rgb="00059669"/>
      <sz val="9"/>
    </font>
    <font>
      <name val="Calibri"/>
      <b val="1"/>
      <color rgb="00059669"/>
      <sz val="20"/>
    </font>
    <font>
      <name val="Calibri"/>
      <b val="1"/>
      <color rgb="00DC2626"/>
      <sz val="9"/>
    </font>
    <font>
      <name val="Calibri"/>
      <b val="1"/>
      <color rgb="00DC2626"/>
      <sz val="20"/>
    </font>
    <font>
      <name val="Calibri"/>
      <b val="1"/>
      <color rgb="00D97706"/>
      <sz val="9"/>
    </font>
    <font>
      <name val="Calibri"/>
      <b val="1"/>
      <color rgb="00D97706"/>
      <sz val="20"/>
    </font>
    <font>
      <name val="Calibri"/>
      <b val="1"/>
      <color rgb="0064748B"/>
      <sz val="9"/>
    </font>
    <font>
      <name val="Calibri"/>
      <b val="1"/>
      <color rgb="0064748B"/>
      <sz val="20"/>
    </font>
    <font>
      <name val="Calibri"/>
      <b val="1"/>
      <color rgb="00059669"/>
      <sz val="14"/>
    </font>
    <font>
      <name val="Calibri"/>
      <b val="1"/>
      <color rgb="004F46E5"/>
      <sz val="14"/>
    </font>
    <font>
      <name val="Calibri"/>
      <b val="1"/>
      <color rgb="001E293B"/>
      <sz val="12"/>
    </font>
    <font>
      <name val="Calibri"/>
      <b val="1"/>
      <color rgb="00065F46"/>
      <sz val="10"/>
    </font>
    <font>
      <name val="Calibri"/>
      <b val="1"/>
      <color rgb="00991B1B"/>
      <sz val="10"/>
    </font>
    <font>
      <name val="Calibri"/>
      <b val="1"/>
      <color rgb="0092400E"/>
      <sz val="10"/>
    </font>
    <font>
      <name val="Calibri"/>
      <b val="1"/>
      <color rgb="00475569"/>
      <sz val="10"/>
    </font>
    <font>
      <name val="Calibri"/>
      <b val="1"/>
      <color rgb="00581C87"/>
      <sz val="10"/>
    </font>
    <font>
      <name val="Calibri"/>
      <b val="1"/>
      <color rgb="001E293B"/>
      <sz val="16"/>
    </font>
    <font>
      <name val="Calibri"/>
      <b val="1"/>
      <color rgb="00FFFFFF"/>
      <sz val="11"/>
    </font>
    <font>
      <name val="Calibri"/>
      <b val="1"/>
      <color rgb="00312E81"/>
      <sz val="11"/>
    </font>
    <font>
      <name val="Consolas"/>
      <color rgb="00475569"/>
      <sz val="9"/>
    </font>
    <font>
      <name val="Calibri"/>
      <b val="1"/>
      <color rgb="001E293B"/>
      <sz val="15"/>
    </font>
  </fonts>
  <fills count="12">
    <fill>
      <patternFill/>
    </fill>
    <fill>
      <patternFill patternType="gray125"/>
    </fill>
    <fill>
      <patternFill patternType="solid">
        <fgColor rgb="00F8FAFC"/>
        <bgColor rgb="00F8FAFC"/>
      </patternFill>
    </fill>
    <fill>
      <patternFill patternType="solid">
        <fgColor rgb="00FFFFFF"/>
        <bgColor rgb="00FFFFFF"/>
      </patternFill>
    </fill>
    <fill>
      <patternFill patternType="solid">
        <fgColor rgb="00DCFCE7"/>
        <bgColor rgb="00DCFCE7"/>
      </patternFill>
    </fill>
    <fill>
      <patternFill patternType="solid">
        <fgColor rgb="00FEE2E2"/>
        <bgColor rgb="00FEE2E2"/>
      </patternFill>
    </fill>
    <fill>
      <patternFill patternType="solid">
        <fgColor rgb="00FEF3C7"/>
        <bgColor rgb="00FEF3C7"/>
      </patternFill>
    </fill>
    <fill>
      <patternFill patternType="solid">
        <fgColor rgb="00F1F5F9"/>
        <bgColor rgb="00F1F5F9"/>
      </patternFill>
    </fill>
    <fill>
      <patternFill patternType="solid">
        <fgColor rgb="00F3E8FF"/>
        <bgColor rgb="00F3E8FF"/>
      </patternFill>
    </fill>
    <fill>
      <patternFill patternType="solid">
        <fgColor rgb="001E293B"/>
        <bgColor rgb="001E293B"/>
      </patternFill>
    </fill>
    <fill>
      <patternFill patternType="solid">
        <fgColor rgb="00EEF2FF"/>
        <bgColor rgb="00EEF2FF"/>
      </patternFill>
    </fill>
    <fill>
      <patternFill patternType="solid">
        <fgColor rgb="004F46E5"/>
        <bgColor rgb="004F46E5"/>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medium">
        <color rgb="000F172A"/>
      </bottom>
    </border>
  </borders>
  <cellStyleXfs count="1">
    <xf numFmtId="0" fontId="0" fillId="0" borderId="0"/>
  </cellStyleXfs>
  <cellXfs count="48">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0" borderId="0" pivotButton="0" quotePrefix="0" xfId="0"/>
    <xf numFmtId="0" fontId="4" fillId="0" borderId="0" pivotButton="0" quotePrefix="0" xfId="0"/>
    <xf numFmtId="164" fontId="4" fillId="0" borderId="0" pivotButton="0" quotePrefix="0" xfId="0"/>
    <xf numFmtId="0" fontId="5" fillId="0" borderId="0" pivotButton="0" quotePrefix="0" xfId="0"/>
    <xf numFmtId="0" fontId="6" fillId="2" borderId="1" applyAlignment="1" pivotButton="0" quotePrefix="0" xfId="0">
      <alignment horizontal="center" vertical="center"/>
    </xf>
    <xf numFmtId="0" fontId="0" fillId="0" borderId="1" pivotButton="0" quotePrefix="0" xfId="0"/>
    <xf numFmtId="0" fontId="8" fillId="2" borderId="1" applyAlignment="1" pivotButton="0" quotePrefix="0" xfId="0">
      <alignment horizontal="center" vertical="center"/>
    </xf>
    <xf numFmtId="0" fontId="10" fillId="2" borderId="1" applyAlignment="1" pivotButton="0" quotePrefix="0" xfId="0">
      <alignment horizontal="center" vertical="center"/>
    </xf>
    <xf numFmtId="0" fontId="12" fillId="2" borderId="1" applyAlignment="1" pivotButton="0" quotePrefix="0" xfId="0">
      <alignment horizontal="center" vertical="center"/>
    </xf>
    <xf numFmtId="0" fontId="14" fillId="2" borderId="1" applyAlignment="1" pivotButton="0" quotePrefix="0" xfId="0">
      <alignment horizontal="center" vertical="center"/>
    </xf>
    <xf numFmtId="0" fontId="7" fillId="3" borderId="1" applyAlignment="1" pivotButton="0" quotePrefix="0" xfId="0">
      <alignment horizontal="center" vertical="center"/>
    </xf>
    <xf numFmtId="0" fontId="9" fillId="3" borderId="1" applyAlignment="1" pivotButton="0" quotePrefix="0" xfId="0">
      <alignment horizontal="center" vertical="center"/>
    </xf>
    <xf numFmtId="0" fontId="11" fillId="3" borderId="1" applyAlignment="1" pivotButton="0" quotePrefix="0" xfId="0">
      <alignment horizontal="center" vertical="center"/>
    </xf>
    <xf numFmtId="0" fontId="13" fillId="3" borderId="1" applyAlignment="1" pivotButton="0" quotePrefix="0" xfId="0">
      <alignment horizontal="center" vertical="center"/>
    </xf>
    <xf numFmtId="0" fontId="15" fillId="3" borderId="1" applyAlignment="1" pivotButton="0" quotePrefix="0" xfId="0">
      <alignment horizontal="center" vertical="center"/>
    </xf>
    <xf numFmtId="165" fontId="16" fillId="0" borderId="0" applyAlignment="1" pivotButton="0" quotePrefix="0" xfId="0">
      <alignment horizontal="center" vertical="center"/>
    </xf>
    <xf numFmtId="165" fontId="17" fillId="0" borderId="0" applyAlignment="1" pivotButton="0" quotePrefix="0" xfId="0">
      <alignment horizontal="center" vertical="center"/>
    </xf>
    <xf numFmtId="0" fontId="18" fillId="0" borderId="0" pivotButton="0" quotePrefix="0" xfId="0"/>
    <xf numFmtId="0" fontId="19" fillId="4" borderId="1" applyAlignment="1" pivotButton="0" quotePrefix="0" xfId="0">
      <alignment horizontal="center" vertical="center"/>
    </xf>
    <xf numFmtId="0" fontId="4" fillId="0" borderId="1" applyAlignment="1" pivotButton="0" quotePrefix="0" xfId="0">
      <alignment vertical="center"/>
    </xf>
    <xf numFmtId="0" fontId="20" fillId="5" borderId="1" applyAlignment="1" pivotButton="0" quotePrefix="0" xfId="0">
      <alignment horizontal="center" vertical="center"/>
    </xf>
    <xf numFmtId="0" fontId="21" fillId="6" borderId="1" applyAlignment="1" pivotButton="0" quotePrefix="0" xfId="0">
      <alignment horizontal="center" vertical="center"/>
    </xf>
    <xf numFmtId="0" fontId="22" fillId="7" borderId="1" applyAlignment="1" pivotButton="0" quotePrefix="0" xfId="0">
      <alignment horizontal="center" vertical="center"/>
    </xf>
    <xf numFmtId="0" fontId="23" fillId="8" borderId="1" applyAlignment="1" pivotButton="0" quotePrefix="0" xfId="0">
      <alignment horizontal="center" vertical="center"/>
    </xf>
    <xf numFmtId="0" fontId="24" fillId="0" borderId="0" pivotButton="0" quotePrefix="0" xfId="0"/>
    <xf numFmtId="0" fontId="2" fillId="0" borderId="0" pivotButton="0" quotePrefix="0" xfId="0"/>
    <xf numFmtId="0" fontId="25" fillId="9" borderId="2" applyAlignment="1" pivotButton="0" quotePrefix="0" xfId="0">
      <alignment horizontal="center" vertical="center" wrapText="1"/>
    </xf>
    <xf numFmtId="0" fontId="26" fillId="10" borderId="1" applyAlignment="1" pivotButton="0" quotePrefix="0" xfId="0">
      <alignment vertical="center" indent="1"/>
    </xf>
    <xf numFmtId="0" fontId="3" fillId="3" borderId="1" applyAlignment="1" pivotButton="0" quotePrefix="0" xfId="0">
      <alignment horizontal="center" vertical="top"/>
    </xf>
    <xf numFmtId="0" fontId="3" fillId="3" borderId="1" applyAlignment="1" pivotButton="0" quotePrefix="0" xfId="0">
      <alignment vertical="top"/>
    </xf>
    <xf numFmtId="0" fontId="4" fillId="3" borderId="1" applyAlignment="1" pivotButton="0" quotePrefix="0" xfId="0">
      <alignment vertical="top" wrapText="1"/>
    </xf>
    <xf numFmtId="0" fontId="22" fillId="7" borderId="1" applyAlignment="1" pivotButton="0" quotePrefix="0" xfId="0">
      <alignment horizontal="center" vertical="top"/>
    </xf>
    <xf numFmtId="0" fontId="4" fillId="3" borderId="1" applyAlignment="1" pivotButton="0" quotePrefix="0" xfId="0">
      <alignment horizontal="center" vertical="top"/>
    </xf>
    <xf numFmtId="0" fontId="27" fillId="3" borderId="1" applyAlignment="1" pivotButton="0" quotePrefix="0" xfId="0">
      <alignment vertical="top"/>
    </xf>
    <xf numFmtId="0" fontId="3" fillId="2" borderId="1" applyAlignment="1" pivotButton="0" quotePrefix="0" xfId="0">
      <alignment horizontal="center" vertical="top"/>
    </xf>
    <xf numFmtId="0" fontId="3" fillId="2" borderId="1" applyAlignment="1" pivotButton="0" quotePrefix="0" xfId="0">
      <alignment vertical="top"/>
    </xf>
    <xf numFmtId="0" fontId="4" fillId="2" borderId="1" applyAlignment="1" pivotButton="0" quotePrefix="0" xfId="0">
      <alignment vertical="top" wrapText="1"/>
    </xf>
    <xf numFmtId="0" fontId="4" fillId="2" borderId="1" applyAlignment="1" pivotButton="0" quotePrefix="0" xfId="0">
      <alignment horizontal="center" vertical="top"/>
    </xf>
    <xf numFmtId="0" fontId="27" fillId="2" borderId="1" applyAlignment="1" pivotButton="0" quotePrefix="0" xfId="0">
      <alignment vertical="top"/>
    </xf>
    <xf numFmtId="0" fontId="28" fillId="0" borderId="0" pivotButton="0" quotePrefix="0" xfId="0"/>
    <xf numFmtId="0" fontId="25" fillId="11" borderId="2" applyAlignment="1" pivotButton="0" quotePrefix="0" xfId="0">
      <alignment horizontal="center" vertical="center" wrapText="1"/>
    </xf>
    <xf numFmtId="0" fontId="0" fillId="3" borderId="1" applyAlignment="1" pivotButton="0" quotePrefix="0" xfId="0">
      <alignment vertical="top" wrapText="1"/>
    </xf>
    <xf numFmtId="0" fontId="0" fillId="3" borderId="1" applyAlignment="1" pivotButton="0" quotePrefix="0" xfId="0">
      <alignment vertical="top"/>
    </xf>
    <xf numFmtId="0" fontId="0" fillId="2" borderId="1" applyAlignment="1" pivotButton="0" quotePrefix="0" xfId="0">
      <alignment vertical="top" wrapText="1"/>
    </xf>
    <xf numFmtId="0" fontId="0" fillId="2" borderId="1" applyAlignment="1" pivotButton="0" quotePrefix="0" xfId="0">
      <alignment vertical="top"/>
    </xf>
  </cellXfs>
  <cellStyles count="1">
    <cellStyle name="Normal" xfId="0" builtinId="0" hidden="0"/>
  </cellStyles>
  <dxfs count="5">
    <dxf>
      <font>
        <name val="Calibri"/>
        <b val="1"/>
        <color rgb="00065F46"/>
        <sz val="10"/>
      </font>
      <fill>
        <patternFill patternType="solid">
          <fgColor rgb="00DCFCE7"/>
          <bgColor rgb="00DCFCE7"/>
        </patternFill>
      </fill>
    </dxf>
    <dxf>
      <font>
        <name val="Calibri"/>
        <b val="1"/>
        <color rgb="00991B1B"/>
        <sz val="10"/>
      </font>
      <fill>
        <patternFill patternType="solid">
          <fgColor rgb="00FEE2E2"/>
          <bgColor rgb="00FEE2E2"/>
        </patternFill>
      </fill>
    </dxf>
    <dxf>
      <font>
        <name val="Calibri"/>
        <b val="1"/>
        <color rgb="0092400E"/>
        <sz val="10"/>
      </font>
      <fill>
        <patternFill patternType="solid">
          <fgColor rgb="00FEF3C7"/>
          <bgColor rgb="00FEF3C7"/>
        </patternFill>
      </fill>
    </dxf>
    <dxf>
      <font>
        <name val="Calibri"/>
        <b val="1"/>
        <color rgb="00475569"/>
        <sz val="10"/>
      </font>
      <fill>
        <patternFill patternType="solid">
          <fgColor rgb="00F1F5F9"/>
          <bgColor rgb="00F1F5F9"/>
        </patternFill>
      </fill>
    </dxf>
    <dxf>
      <font>
        <name val="Calibri"/>
        <b val="1"/>
        <color rgb="00581C87"/>
        <sz val="10"/>
      </font>
      <fill>
        <patternFill patternType="solid">
          <fgColor rgb="00F3E8FF"/>
          <bgColor rgb="00F3E8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K25"/>
  <sheetViews>
    <sheetView showGridLines="1" workbookViewId="0">
      <selection activeCell="A1" sqref="A1"/>
    </sheetView>
  </sheetViews>
  <sheetFormatPr baseColWidth="8" defaultRowHeight="15"/>
  <sheetData>
    <row r="2">
      <c r="B2" s="1" t="inlineStr">
        <is>
          <t>🚀 INSTADECK - MASTER QC TESTING SUITE</t>
        </is>
      </c>
    </row>
    <row r="3">
      <c r="B3" s="2" t="inlineStr">
        <is>
          <t>Target URL: https://pro.instadeck.id | Sistem: Next.js Cloud Serverless &amp; AI Engine | Lingkup: End-to-End Deep QC</t>
        </is>
      </c>
    </row>
    <row r="5">
      <c r="B5" s="3" t="inlineStr">
        <is>
          <t>Nama Penilai / Tester:</t>
        </is>
      </c>
      <c r="C5" s="4" t="inlineStr">
        <is>
          <t>Owner / QA Specialist</t>
        </is>
      </c>
      <c r="E5" s="3" t="inlineStr">
        <is>
          <t>Tanggal Mulai QC:</t>
        </is>
      </c>
      <c r="F5" s="5">
        <f>TODAY()</f>
        <v/>
      </c>
      <c r="H5" s="3" t="inlineStr">
        <is>
          <t>Status Deployment:</t>
        </is>
      </c>
      <c r="I5" s="6" t="inlineStr">
        <is>
          <t>LIVE (pro.instadeck.id)</t>
        </is>
      </c>
    </row>
    <row r="7">
      <c r="B7" s="7" t="inlineStr">
        <is>
          <t>TOTAL TEST CASE</t>
        </is>
      </c>
      <c r="C7" s="8" t="n"/>
      <c r="D7" s="9" t="inlineStr">
        <is>
          <t>PASSED (LULUS)</t>
        </is>
      </c>
      <c r="E7" s="8" t="n"/>
      <c r="F7" s="10" t="inlineStr">
        <is>
          <t>FAILED (GAGAL/BUG)</t>
        </is>
      </c>
      <c r="G7" s="8" t="n"/>
      <c r="H7" s="11" t="inlineStr">
        <is>
          <t>IN PROGRESS</t>
        </is>
      </c>
      <c r="I7" s="8" t="n"/>
      <c r="J7" s="12" t="inlineStr">
        <is>
          <t>UNTESTED (BELUM)</t>
        </is>
      </c>
      <c r="K7" s="8" t="n"/>
    </row>
    <row r="8">
      <c r="B8" s="13">
        <f>COUNTA('📋 Master Checklist QC'!G6:G80)</f>
        <v/>
      </c>
      <c r="C8" s="8" t="n"/>
      <c r="D8" s="14">
        <f>COUNTIF('📋 Master Checklist QC'!G6:G80, "PASS")</f>
        <v/>
      </c>
      <c r="E8" s="8" t="n"/>
      <c r="F8" s="15">
        <f>COUNTIF('📋 Master Checklist QC'!G6:G80, "FAIL")</f>
        <v/>
      </c>
      <c r="G8" s="8" t="n"/>
      <c r="H8" s="16">
        <f>COUNTIF('📋 Master Checklist QC'!G6:G80, "IN PROGRESS")</f>
        <v/>
      </c>
      <c r="I8" s="8" t="n"/>
      <c r="J8" s="17">
        <f>COUNTIF('📋 Master Checklist QC'!G6:G80, "UNTESTED")</f>
        <v/>
      </c>
      <c r="K8" s="8" t="n"/>
    </row>
    <row r="10">
      <c r="B10" s="3" t="inlineStr">
        <is>
          <t>📊 TINGKAT KELULUSAN (PASS RATE):</t>
        </is>
      </c>
      <c r="F10" s="18">
        <f>IF(B8&gt;0, D8/B8, 0)</f>
        <v/>
      </c>
    </row>
    <row r="11">
      <c r="B11" s="3" t="inlineStr">
        <is>
          <t>📈 PROGRESS PENGERJAAN QC:</t>
        </is>
      </c>
      <c r="F11" s="19">
        <f>IF(B8&gt;0, (B8-J8)/B8, 0)</f>
        <v/>
      </c>
    </row>
    <row r="13">
      <c r="B13" s="20" t="inlineStr">
        <is>
          <t>📖 PANDUAN PENGGUNAAN SPREADSHEET INI</t>
        </is>
      </c>
    </row>
    <row r="14">
      <c r="B14" s="3" t="inlineStr">
        <is>
          <t>1. Buka Sheet '📋 Master Checklist QC'</t>
        </is>
      </c>
      <c r="D14" s="4" t="inlineStr">
        <is>
          <t>Gunakan sheet kedua untuk mulai melakukan pengetesan dari modul 1 sampai 13.</t>
        </is>
      </c>
    </row>
    <row r="15">
      <c r="B15" s="3" t="inlineStr">
        <is>
          <t>2. Gunakan Dropdown pada Kolom Status</t>
        </is>
      </c>
      <c r="D15" s="4" t="inlineStr">
        <is>
          <t>Setiap baris memiliki dropdown: PASS (Hijau), FAIL (Merah), IN PROGRESS (Kuning), UNTESTED (Abu-abu), BLOCKED (Ungu).</t>
        </is>
      </c>
    </row>
    <row r="16">
      <c r="B16" s="3" t="inlineStr">
        <is>
          <t>3. Tulis Catatan &amp; Temuan</t>
        </is>
      </c>
      <c r="D16" s="4" t="inlineStr">
        <is>
          <t>Jika menemukan bug/kendala atau teks kepotong, tulis langsung di kolom 'Catatan &amp; Temuan Tester'.</t>
        </is>
      </c>
    </row>
    <row r="17">
      <c r="B17" s="3" t="inlineStr">
        <is>
          <t>4. Dashboard Otomatis Terupdate</t>
        </is>
      </c>
      <c r="D17" s="4" t="inlineStr">
        <is>
          <t>Angka statistik di sheet Dashboard ini akan otomatis menghitung jumlah PASS/FAIL tanpa perlu diubah manual.</t>
        </is>
      </c>
    </row>
    <row r="18">
      <c r="B18" s="3" t="inlineStr">
        <is>
          <t>5. Sheet '📱 Khusus Pengujian Mobile'</t>
        </is>
      </c>
      <c r="D18" s="4" t="inlineStr">
        <is>
          <t>Gunakan sheet ketiga jika Anda ingin fokus menguji tampilan HP secara detail.</t>
        </is>
      </c>
    </row>
    <row r="20">
      <c r="B20" s="3" t="inlineStr">
        <is>
          <t>ARTI STATUS QC:</t>
        </is>
      </c>
    </row>
    <row r="21">
      <c r="B21" s="21" t="inlineStr">
        <is>
          <t>PASS</t>
        </is>
      </c>
      <c r="C21" s="22" t="inlineStr">
        <is>
          <t>Fitur berfungsi sempurna sesuai ekspektasi tanpa bug.</t>
        </is>
      </c>
    </row>
    <row r="22">
      <c r="B22" s="23" t="inlineStr">
        <is>
          <t>FAIL</t>
        </is>
      </c>
      <c r="C22" s="22" t="inlineStr">
        <is>
          <t>Fitur error, tombol tidak merespon, atau hasil tidak sesuai.</t>
        </is>
      </c>
    </row>
    <row r="23">
      <c r="B23" s="24" t="inlineStr">
        <is>
          <t>IN PROGRESS</t>
        </is>
      </c>
      <c r="C23" s="22" t="inlineStr">
        <is>
          <t>Sedang dalam proses pengujian / verifikasi bertahap.</t>
        </is>
      </c>
    </row>
    <row r="24">
      <c r="B24" s="25" t="inlineStr">
        <is>
          <t>UNTESTED</t>
        </is>
      </c>
      <c r="C24" s="22" t="inlineStr">
        <is>
          <t>Belum dites sama sekali (default).</t>
        </is>
      </c>
    </row>
    <row r="25">
      <c r="B25" s="26" t="inlineStr">
        <is>
          <t>BLOCKED</t>
        </is>
      </c>
      <c r="C25" s="22" t="inlineStr">
        <is>
          <t>Tidak bisa dites karena terhalang konfigurasi lain / API limit.</t>
        </is>
      </c>
    </row>
  </sheetData>
  <mergeCells count="26">
    <mergeCell ref="C23:I23"/>
    <mergeCell ref="F11:G11"/>
    <mergeCell ref="B7:C7"/>
    <mergeCell ref="F10:G10"/>
    <mergeCell ref="F7:G7"/>
    <mergeCell ref="C24:I24"/>
    <mergeCell ref="B8:C8"/>
    <mergeCell ref="F8:G8"/>
    <mergeCell ref="D17:K17"/>
    <mergeCell ref="D7:E7"/>
    <mergeCell ref="H7:I7"/>
    <mergeCell ref="D16:K16"/>
    <mergeCell ref="J7:K7"/>
    <mergeCell ref="B11:E11"/>
    <mergeCell ref="C25:I25"/>
    <mergeCell ref="D18:K18"/>
    <mergeCell ref="D8:E8"/>
    <mergeCell ref="B3:J3"/>
    <mergeCell ref="C22:I22"/>
    <mergeCell ref="D15:K15"/>
    <mergeCell ref="C21:I21"/>
    <mergeCell ref="D14:K14"/>
    <mergeCell ref="H8:I8"/>
    <mergeCell ref="B10:E10"/>
    <mergeCell ref="J8:K8"/>
    <mergeCell ref="B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J78"/>
  <sheetViews>
    <sheetView showGridLines="1" workbookViewId="0">
      <selection activeCell="A1" sqref="A1"/>
    </sheetView>
  </sheetViews>
  <sheetFormatPr baseColWidth="8" defaultRowHeight="15"/>
  <cols>
    <col width="6" customWidth="1" min="1" max="1"/>
    <col width="22" customWidth="1" min="2" max="2"/>
    <col width="28" customWidth="1" min="3" max="3"/>
    <col width="40" customWidth="1" min="4" max="4"/>
    <col width="40" customWidth="1" min="5" max="5"/>
    <col width="12" customWidth="1" min="6" max="6"/>
    <col width="16" customWidth="1" min="7" max="7"/>
    <col width="35" customWidth="1" min="8" max="8"/>
    <col width="13" customWidth="1" min="9" max="9"/>
    <col width="20" customWidth="1" min="10" max="10"/>
  </cols>
  <sheetData>
    <row r="2">
      <c r="A2" s="27" t="inlineStr">
        <is>
          <t>INSTADECK - END-TO-END QC MASTER TEST CASES</t>
        </is>
      </c>
    </row>
    <row r="3">
      <c r="A3" s="28" t="inlineStr">
        <is>
          <t>Pilih status dari dropdown pada kolom Status QC (PASS / FAIL / IN PROGRESS / UNTESTED / BLOCKED).</t>
        </is>
      </c>
    </row>
    <row r="5" ht="28" customHeight="1">
      <c r="A5" s="29" t="inlineStr">
        <is>
          <t>No</t>
        </is>
      </c>
      <c r="B5" s="29" t="inlineStr">
        <is>
          <t>Modul / Fitur</t>
        </is>
      </c>
      <c r="C5" s="29" t="inlineStr">
        <is>
          <t>Skenario Pengujian</t>
        </is>
      </c>
      <c r="D5" s="29" t="inlineStr">
        <is>
          <t>Langkah Pengujian (Step by Step)</t>
        </is>
      </c>
      <c r="E5" s="29" t="inlineStr">
        <is>
          <t>Hasil yang Diharapkan (Expected Result)</t>
        </is>
      </c>
      <c r="F5" s="29" t="inlineStr">
        <is>
          <t>Prioritas</t>
        </is>
      </c>
      <c r="G5" s="29" t="inlineStr">
        <is>
          <t>Status QC</t>
        </is>
      </c>
      <c r="H5" s="29" t="inlineStr">
        <is>
          <t>Catatan &amp; Temuan Tester</t>
        </is>
      </c>
      <c r="I5" s="29" t="inlineStr">
        <is>
          <t>Tgl Dites</t>
        </is>
      </c>
      <c r="J5" s="29" t="inlineStr">
        <is>
          <t>Link / Bukti</t>
        </is>
      </c>
    </row>
    <row r="6" ht="24" customHeight="1">
      <c r="A6" s="30" t="inlineStr">
        <is>
          <t>1. AUTENTIKASI &amp; MANAJEMEN AKUN</t>
        </is>
      </c>
      <c r="B6" s="8" t="n"/>
      <c r="C6" s="8" t="n"/>
      <c r="D6" s="8" t="n"/>
      <c r="E6" s="8" t="n"/>
      <c r="F6" s="8" t="n"/>
      <c r="G6" s="8" t="n"/>
      <c r="H6" s="8" t="n"/>
      <c r="I6" s="8" t="n"/>
      <c r="J6" s="8" t="n"/>
    </row>
    <row r="7" ht="55" customHeight="1">
      <c r="A7" s="31" t="n">
        <v>1</v>
      </c>
      <c r="B7" s="32" t="inlineStr">
        <is>
          <t>Autentikasi</t>
        </is>
      </c>
      <c r="C7" s="33" t="inlineStr">
        <is>
          <t>Login Email &amp; Password</t>
        </is>
      </c>
      <c r="D7" s="33" t="inlineStr">
        <is>
          <t>1. Buka /login
2. Masukkan email &amp; password benar
3. Klik tombol Masuk</t>
        </is>
      </c>
      <c r="E7" s="33" t="inlineStr">
        <is>
          <t>Berhasil login dan diarahkan ke /dashboard dengan session aktif.</t>
        </is>
      </c>
      <c r="F7" s="31" t="inlineStr">
        <is>
          <t>CRITICAL</t>
        </is>
      </c>
      <c r="G7" s="34" t="inlineStr">
        <is>
          <t>UNTESTED</t>
        </is>
      </c>
      <c r="H7" s="33" t="inlineStr"/>
      <c r="I7" s="35" t="inlineStr"/>
      <c r="J7" s="36" t="inlineStr"/>
    </row>
    <row r="8" ht="55" customHeight="1">
      <c r="A8" s="37" t="n">
        <v>2</v>
      </c>
      <c r="B8" s="38" t="inlineStr">
        <is>
          <t>Autentikasi</t>
        </is>
      </c>
      <c r="C8" s="39" t="inlineStr">
        <is>
          <t>Login Kredensial Salah</t>
        </is>
      </c>
      <c r="D8" s="39" t="inlineStr">
        <is>
          <t>1. Buka /login
2. Masukkan password salah
3. Klik tombol Masuk</t>
        </is>
      </c>
      <c r="E8" s="39" t="inlineStr">
        <is>
          <t>Muncul pesan error merah yang jelas, tidak crash, tetap di halaman login.</t>
        </is>
      </c>
      <c r="F8" s="37" t="inlineStr">
        <is>
          <t>HIGH</t>
        </is>
      </c>
      <c r="G8" s="34" t="inlineStr">
        <is>
          <t>UNTESTED</t>
        </is>
      </c>
      <c r="H8" s="39" t="inlineStr"/>
      <c r="I8" s="40" t="inlineStr"/>
      <c r="J8" s="41" t="inlineStr"/>
    </row>
    <row r="9" ht="55" customHeight="1">
      <c r="A9" s="31" t="n">
        <v>3</v>
      </c>
      <c r="B9" s="32" t="inlineStr">
        <is>
          <t>Autentikasi</t>
        </is>
      </c>
      <c r="C9" s="33" t="inlineStr">
        <is>
          <t>Register Akun Baru</t>
        </is>
      </c>
      <c r="D9" s="33" t="inlineStr">
        <is>
          <t>1. Buka /register
2. Isi nama, email baru, password
3. Klik Daftar</t>
        </is>
      </c>
      <c r="E9" s="33" t="inlineStr">
        <is>
          <t>Akun berhasil dibuat, kuota trial 3 kredit terisi otomatis, redirect ke dashboard.</t>
        </is>
      </c>
      <c r="F9" s="31" t="inlineStr">
        <is>
          <t>CRITICAL</t>
        </is>
      </c>
      <c r="G9" s="34" t="inlineStr">
        <is>
          <t>UNTESTED</t>
        </is>
      </c>
      <c r="H9" s="33" t="inlineStr"/>
      <c r="I9" s="35" t="inlineStr"/>
      <c r="J9" s="36" t="inlineStr"/>
    </row>
    <row r="10" ht="55" customHeight="1">
      <c r="A10" s="37" t="n">
        <v>4</v>
      </c>
      <c r="B10" s="38" t="inlineStr">
        <is>
          <t>Autentikasi</t>
        </is>
      </c>
      <c r="C10" s="39" t="inlineStr">
        <is>
          <t>Google OAuth Sign-in</t>
        </is>
      </c>
      <c r="D10" s="39" t="inlineStr">
        <is>
          <t>1. Klik tombol 'Lanjutkan dengan Google'
2. Pilih akun Google</t>
        </is>
      </c>
      <c r="E10" s="39" t="inlineStr">
        <is>
          <t>Otorisasi Google berhasil, akun terbuat/terhubung otomatis tanpa error redirect.</t>
        </is>
      </c>
      <c r="F10" s="37" t="inlineStr">
        <is>
          <t>HIGH</t>
        </is>
      </c>
      <c r="G10" s="34" t="inlineStr">
        <is>
          <t>UNTESTED</t>
        </is>
      </c>
      <c r="H10" s="39" t="inlineStr"/>
      <c r="I10" s="40" t="inlineStr"/>
      <c r="J10" s="41" t="inlineStr"/>
    </row>
    <row r="11" ht="55" customHeight="1">
      <c r="A11" s="31" t="n">
        <v>5</v>
      </c>
      <c r="B11" s="32" t="inlineStr">
        <is>
          <t>Autentikasi</t>
        </is>
      </c>
      <c r="C11" s="33" t="inlineStr">
        <is>
          <t>Session Persistence &amp; Logout</t>
        </is>
      </c>
      <c r="D11" s="33" t="inlineStr">
        <is>
          <t>1. Login lalu refresh browser (F5)
2. Klik menu Profil -&gt; Logout</t>
        </is>
      </c>
      <c r="E11" s="33" t="inlineStr">
        <is>
          <t>Session tetap bertahan saat di-refresh. Saat klik Logout langsung keluar dan cookie terhapus.</t>
        </is>
      </c>
      <c r="F11" s="31" t="inlineStr">
        <is>
          <t>HIGH</t>
        </is>
      </c>
      <c r="G11" s="34" t="inlineStr">
        <is>
          <t>UNTESTED</t>
        </is>
      </c>
      <c r="H11" s="33" t="inlineStr"/>
      <c r="I11" s="35" t="inlineStr"/>
      <c r="J11" s="36" t="inlineStr"/>
    </row>
    <row r="12" ht="55" customHeight="1">
      <c r="A12" s="37" t="n">
        <v>6</v>
      </c>
      <c r="B12" s="38" t="inlineStr">
        <is>
          <t>Autentikasi</t>
        </is>
      </c>
      <c r="C12" s="39" t="inlineStr">
        <is>
          <t>Protected Route Guard</t>
        </is>
      </c>
      <c r="D12" s="39" t="inlineStr">
        <is>
          <t>1. Buka browser incognito (tanpa login)
2. Coba akses /dashboard atau /studio</t>
        </is>
      </c>
      <c r="E12" s="39" t="inlineStr">
        <is>
          <t>Otomatis di-redirect ke /login dan tidak bisa melihat data privat.</t>
        </is>
      </c>
      <c r="F12" s="37" t="inlineStr">
        <is>
          <t>CRITICAL</t>
        </is>
      </c>
      <c r="G12" s="34" t="inlineStr">
        <is>
          <t>UNTESTED</t>
        </is>
      </c>
      <c r="H12" s="39" t="inlineStr"/>
      <c r="I12" s="40" t="inlineStr"/>
      <c r="J12" s="41" t="inlineStr"/>
    </row>
    <row r="13" ht="24" customHeight="1">
      <c r="A13" s="30" t="inlineStr">
        <is>
          <t>2. DASHBOARD &amp; NAVIGASI UTAMA</t>
        </is>
      </c>
      <c r="B13" s="8" t="n"/>
      <c r="C13" s="8" t="n"/>
      <c r="D13" s="8" t="n"/>
      <c r="E13" s="8" t="n"/>
      <c r="F13" s="8" t="n"/>
      <c r="G13" s="8" t="n"/>
      <c r="H13" s="8" t="n"/>
      <c r="I13" s="8" t="n"/>
      <c r="J13" s="8" t="n"/>
    </row>
    <row r="14" ht="55" customHeight="1">
      <c r="A14" s="31" t="n">
        <v>7</v>
      </c>
      <c r="B14" s="32" t="inlineStr">
        <is>
          <t>Dashboard</t>
        </is>
      </c>
      <c r="C14" s="33" t="inlineStr">
        <is>
          <t>Tampilan Bar Kuota &amp; Paket</t>
        </is>
      </c>
      <c r="D14" s="33" t="inlineStr">
        <is>
          <t>1. Lihat widget kuota di dashboard/header</t>
        </is>
      </c>
      <c r="E14" s="33" t="inlineStr">
        <is>
          <t>Menampilkan sisa kuota dengan angka dan progress bar yang akurat sesuai paket.</t>
        </is>
      </c>
      <c r="F14" s="31" t="inlineStr">
        <is>
          <t>HIGH</t>
        </is>
      </c>
      <c r="G14" s="34" t="inlineStr">
        <is>
          <t>UNTESTED</t>
        </is>
      </c>
      <c r="H14" s="33" t="inlineStr"/>
      <c r="I14" s="35" t="inlineStr"/>
      <c r="J14" s="36" t="inlineStr"/>
    </row>
    <row r="15" ht="55" customHeight="1">
      <c r="A15" s="37" t="n">
        <v>8</v>
      </c>
      <c r="B15" s="38" t="inlineStr">
        <is>
          <t>Dashboard</t>
        </is>
      </c>
      <c r="C15" s="39" t="inlineStr">
        <is>
          <t>Riwayat Proyek (Recent Projects)</t>
        </is>
      </c>
      <c r="D15" s="39" t="inlineStr">
        <is>
          <t>1. Buat 1 konten baru
2. Kembali ke /dashboard</t>
        </is>
      </c>
      <c r="E15" s="39" t="inlineStr">
        <is>
          <t>Konten baru muncul di list recent projects dengan thumbnail &amp; tanggal yang benar.</t>
        </is>
      </c>
      <c r="F15" s="37" t="inlineStr">
        <is>
          <t>HIGH</t>
        </is>
      </c>
      <c r="G15" s="34" t="inlineStr">
        <is>
          <t>UNTESTED</t>
        </is>
      </c>
      <c r="H15" s="39" t="inlineStr"/>
      <c r="I15" s="40" t="inlineStr"/>
      <c r="J15" s="41" t="inlineStr"/>
    </row>
    <row r="16" ht="55" customHeight="1">
      <c r="A16" s="31" t="n">
        <v>9</v>
      </c>
      <c r="B16" s="32" t="inlineStr">
        <is>
          <t>Dashboard</t>
        </is>
      </c>
      <c r="C16" s="33" t="inlineStr">
        <is>
          <t>Pencarian &amp; Filter Proyek</t>
        </is>
      </c>
      <c r="D16" s="33" t="inlineStr">
        <is>
          <t>1. Ketik kata kunci di search bar proyek
2. Filter berdasarkan status/tanggal</t>
        </is>
      </c>
      <c r="E16" s="33" t="inlineStr">
        <is>
          <t>Daftar proyek terfilter secara real-time dan akurat.</t>
        </is>
      </c>
      <c r="F16" s="31" t="inlineStr">
        <is>
          <t>MEDIUM</t>
        </is>
      </c>
      <c r="G16" s="34" t="inlineStr">
        <is>
          <t>UNTESTED</t>
        </is>
      </c>
      <c r="H16" s="33" t="inlineStr"/>
      <c r="I16" s="35" t="inlineStr"/>
      <c r="J16" s="36" t="inlineStr"/>
    </row>
    <row r="17" ht="55" customHeight="1">
      <c r="A17" s="37" t="n">
        <v>10</v>
      </c>
      <c r="B17" s="38" t="inlineStr">
        <is>
          <t>Dashboard</t>
        </is>
      </c>
      <c r="C17" s="39" t="inlineStr">
        <is>
          <t>Menu Navigasi Mobile &amp; Desktop</t>
        </is>
      </c>
      <c r="D17" s="39" t="inlineStr">
        <is>
          <t>1. Buka di desktop (sidebar/header)
2. Buka di mobile (hamburger menu/bottom bar)</t>
        </is>
      </c>
      <c r="E17" s="39" t="inlineStr">
        <is>
          <t>Semua tautan menu (Generator, Studio, Kalender, Brand Kit, Settings) bisa diklik dan aktif.</t>
        </is>
      </c>
      <c r="F17" s="37" t="inlineStr">
        <is>
          <t>HIGH</t>
        </is>
      </c>
      <c r="G17" s="34" t="inlineStr">
        <is>
          <t>UNTESTED</t>
        </is>
      </c>
      <c r="H17" s="39" t="inlineStr"/>
      <c r="I17" s="40" t="inlineStr"/>
      <c r="J17" s="41" t="inlineStr"/>
    </row>
    <row r="18" ht="24" customHeight="1">
      <c r="A18" s="30" t="inlineStr">
        <is>
          <t>3. MULTI-INPUT GENERATOR (5 MODES)</t>
        </is>
      </c>
      <c r="B18" s="8" t="n"/>
      <c r="C18" s="8" t="n"/>
      <c r="D18" s="8" t="n"/>
      <c r="E18" s="8" t="n"/>
      <c r="F18" s="8" t="n"/>
      <c r="G18" s="8" t="n"/>
      <c r="H18" s="8" t="n"/>
      <c r="I18" s="8" t="n"/>
      <c r="J18" s="8" t="n"/>
    </row>
    <row r="19" ht="55" customHeight="1">
      <c r="A19" s="31" t="n">
        <v>11</v>
      </c>
      <c r="B19" s="32" t="inlineStr">
        <is>
          <t>Multi-Input</t>
        </is>
      </c>
      <c r="C19" s="33" t="inlineStr">
        <is>
          <t>Mode 1: Generate dari Topik / Ide</t>
        </is>
      </c>
      <c r="D19" s="33" t="inlineStr">
        <is>
          <t>1. Pilih tab 'Topik'
2. Masukkan: '5 Tips Produktivitas WFH'
3. Pilih Tone &amp; Slide (5 slide)
4. Klik Generate</t>
        </is>
      </c>
      <c r="E19" s="33" t="inlineStr">
        <is>
          <t>AI Gemini memproses dan menghasilkan 5 slide lengkap (Hook, Isi, CTA) dalam Bahasa Indonesia.</t>
        </is>
      </c>
      <c r="F19" s="31" t="inlineStr">
        <is>
          <t>CRITICAL</t>
        </is>
      </c>
      <c r="G19" s="34" t="inlineStr">
        <is>
          <t>UNTESTED</t>
        </is>
      </c>
      <c r="H19" s="33" t="inlineStr"/>
      <c r="I19" s="35" t="inlineStr"/>
      <c r="J19" s="36" t="inlineStr"/>
    </row>
    <row r="20" ht="55" customHeight="1">
      <c r="A20" s="37" t="n">
        <v>12</v>
      </c>
      <c r="B20" s="38" t="inlineStr">
        <is>
          <t>Multi-Input</t>
        </is>
      </c>
      <c r="C20" s="39" t="inlineStr">
        <is>
          <t>Mode 2: Scrape URL Artikel / Blog</t>
        </is>
      </c>
      <c r="D20" s="39" t="inlineStr">
        <is>
          <t>1. Pilih tab 'URL Artikel'
2. Masukkan link artikel berita/blog
3. Klik Generate</t>
        </is>
      </c>
      <c r="E20" s="39" t="inlineStr">
        <is>
          <t>Web scraper mengekstrak isi artikel dan merangkumnya menjadi poin-poin carousel yang rapi.</t>
        </is>
      </c>
      <c r="F20" s="37" t="inlineStr">
        <is>
          <t>HIGH</t>
        </is>
      </c>
      <c r="G20" s="34" t="inlineStr">
        <is>
          <t>UNTESTED</t>
        </is>
      </c>
      <c r="H20" s="39" t="inlineStr"/>
      <c r="I20" s="40" t="inlineStr"/>
      <c r="J20" s="41" t="inlineStr"/>
    </row>
    <row r="21" ht="55" customHeight="1">
      <c r="A21" s="31" t="n">
        <v>13</v>
      </c>
      <c r="B21" s="32" t="inlineStr">
        <is>
          <t>Multi-Input</t>
        </is>
      </c>
      <c r="C21" s="33" t="inlineStr">
        <is>
          <t>Mode 3: Copy-Paste Script / Raw Text</t>
        </is>
      </c>
      <c r="D21" s="33" t="inlineStr">
        <is>
          <t>1. Pilih tab 'Teks/Script'
2. Tempel teks panjang (500 kata)
3. Klik Generate</t>
        </is>
      </c>
      <c r="E21" s="33" t="inlineStr">
        <is>
          <t>AI memecah teks panjang menjadi urutan slide yang koheren dan enak dibaca.</t>
        </is>
      </c>
      <c r="F21" s="31" t="inlineStr">
        <is>
          <t>HIGH</t>
        </is>
      </c>
      <c r="G21" s="34" t="inlineStr">
        <is>
          <t>UNTESTED</t>
        </is>
      </c>
      <c r="H21" s="33" t="inlineStr"/>
      <c r="I21" s="35" t="inlineStr"/>
      <c r="J21" s="36" t="inlineStr"/>
    </row>
    <row r="22" ht="55" customHeight="1">
      <c r="A22" s="37" t="n">
        <v>14</v>
      </c>
      <c r="B22" s="38" t="inlineStr">
        <is>
          <t>Multi-Input</t>
        </is>
      </c>
      <c r="C22" s="39" t="inlineStr">
        <is>
          <t>Mode 4: Scrape YouTube URL</t>
        </is>
      </c>
      <c r="D22" s="39" t="inlineStr">
        <is>
          <t>1. Pilih tab 'YouTube'
2. Masukkan URL video edukasi YouTube
3. Klik Generate</t>
        </is>
      </c>
      <c r="E22" s="39" t="inlineStr">
        <is>
          <t>Sistem mengekstrak transcript video dan menyusun ringkasan carousel yang informatif.</t>
        </is>
      </c>
      <c r="F22" s="37" t="inlineStr">
        <is>
          <t>HIGH</t>
        </is>
      </c>
      <c r="G22" s="34" t="inlineStr">
        <is>
          <t>UNTESTED</t>
        </is>
      </c>
      <c r="H22" s="39" t="inlineStr"/>
      <c r="I22" s="40" t="inlineStr"/>
      <c r="J22" s="41" t="inlineStr"/>
    </row>
    <row r="23" ht="55" customHeight="1">
      <c r="A23" s="31" t="n">
        <v>15</v>
      </c>
      <c r="B23" s="32" t="inlineStr">
        <is>
          <t>Multi-Input</t>
        </is>
      </c>
      <c r="C23" s="33" t="inlineStr">
        <is>
          <t>Mode 5: Audio / Voice Upload</t>
        </is>
      </c>
      <c r="D23" s="33" t="inlineStr">
        <is>
          <t>1. Pilih tab 'Audio/Suara'
2. Upload file suara / podcast (.mp3)
3. Klik Generate</t>
        </is>
      </c>
      <c r="E23" s="33" t="inlineStr">
        <is>
          <t>Audio tertranskripsi dan AI menyusun konten carousel berdasarkan rekaman suara.</t>
        </is>
      </c>
      <c r="F23" s="31" t="inlineStr">
        <is>
          <t>MEDIUM</t>
        </is>
      </c>
      <c r="G23" s="34" t="inlineStr">
        <is>
          <t>UNTESTED</t>
        </is>
      </c>
      <c r="H23" s="33" t="inlineStr"/>
      <c r="I23" s="35" t="inlineStr"/>
      <c r="J23" s="36" t="inlineStr"/>
    </row>
    <row r="24" ht="55" customHeight="1">
      <c r="A24" s="37" t="n">
        <v>16</v>
      </c>
      <c r="B24" s="38" t="inlineStr">
        <is>
          <t>Multi-Input</t>
        </is>
      </c>
      <c r="C24" s="39" t="inlineStr">
        <is>
          <t>Pengaturan Jumlah Slide (3 - 10)</t>
        </is>
      </c>
      <c r="D24" s="39" t="inlineStr">
        <is>
          <t>1. Geser slider slide ke angka 7
2. Klik Generate</t>
        </is>
      </c>
      <c r="E24" s="39" t="inlineStr">
        <is>
          <t>Output menghasilkan tepat 7 slide sesuai pilihan.</t>
        </is>
      </c>
      <c r="F24" s="37" t="inlineStr">
        <is>
          <t>HIGH</t>
        </is>
      </c>
      <c r="G24" s="34" t="inlineStr">
        <is>
          <t>UNTESTED</t>
        </is>
      </c>
      <c r="H24" s="39" t="inlineStr"/>
      <c r="I24" s="40" t="inlineStr"/>
      <c r="J24" s="41" t="inlineStr"/>
    </row>
    <row r="25" ht="55" customHeight="1">
      <c r="A25" s="31" t="n">
        <v>17</v>
      </c>
      <c r="B25" s="32" t="inlineStr">
        <is>
          <t>Multi-Input</t>
        </is>
      </c>
      <c r="C25" s="33" t="inlineStr">
        <is>
          <t>Pengaturan Tone of Voice</t>
        </is>
      </c>
      <c r="D25" s="33" t="inlineStr">
        <is>
          <t>1. Coba ganti Tone: 'Storytelling', 'Provokatif', 'Formal', 'Kasual'</t>
        </is>
      </c>
      <c r="E25" s="33" t="inlineStr">
        <is>
          <t>Gaya bahasa teks yang dihasilkan AI berubah sesuai dengan tone yang dipilih.</t>
        </is>
      </c>
      <c r="F25" s="31" t="inlineStr">
        <is>
          <t>MEDIUM</t>
        </is>
      </c>
      <c r="G25" s="34" t="inlineStr">
        <is>
          <t>UNTESTED</t>
        </is>
      </c>
      <c r="H25" s="33" t="inlineStr"/>
      <c r="I25" s="35" t="inlineStr"/>
      <c r="J25" s="36" t="inlineStr"/>
    </row>
    <row r="26" ht="24" customHeight="1">
      <c r="A26" s="30" t="inlineStr">
        <is>
          <t>4. VISUAL TEMPLATE PICKER (32 TEMPLATES)</t>
        </is>
      </c>
      <c r="B26" s="8" t="n"/>
      <c r="C26" s="8" t="n"/>
      <c r="D26" s="8" t="n"/>
      <c r="E26" s="8" t="n"/>
      <c r="F26" s="8" t="n"/>
      <c r="G26" s="8" t="n"/>
      <c r="H26" s="8" t="n"/>
      <c r="I26" s="8" t="n"/>
      <c r="J26" s="8" t="n"/>
    </row>
    <row r="27" ht="55" customHeight="1">
      <c r="A27" s="37" t="n">
        <v>18</v>
      </c>
      <c r="B27" s="38" t="inlineStr">
        <is>
          <t>Template Picker</t>
        </is>
      </c>
      <c r="C27" s="39" t="inlineStr">
        <is>
          <t>Hero Carousel &amp; Swiper</t>
        </is>
      </c>
      <c r="D27" s="39" t="inlineStr">
        <is>
          <t>1. Lihat hero section di atas form generator
2. Geser kartu template ke kiri/kanan</t>
        </is>
      </c>
      <c r="E27" s="39" t="inlineStr">
        <is>
          <t>Kartu template bergeser mulus, preview warna &amp; layout terlihat jelas.</t>
        </is>
      </c>
      <c r="F27" s="37" t="inlineStr">
        <is>
          <t>HIGH</t>
        </is>
      </c>
      <c r="G27" s="34" t="inlineStr">
        <is>
          <t>UNTESTED</t>
        </is>
      </c>
      <c r="H27" s="39" t="inlineStr"/>
      <c r="I27" s="40" t="inlineStr"/>
      <c r="J27" s="41" t="inlineStr"/>
    </row>
    <row r="28" ht="55" customHeight="1">
      <c r="A28" s="31" t="n">
        <v>19</v>
      </c>
      <c r="B28" s="32" t="inlineStr">
        <is>
          <t>Template Picker</t>
        </is>
      </c>
      <c r="C28" s="33" t="inlineStr">
        <is>
          <t>Modal Katalog Lengkap (32 Template)</t>
        </is>
      </c>
      <c r="D28" s="33" t="inlineStr">
        <is>
          <t>1. Klik tombol 'Lihat Semua 32 Template'
2. Cek kategori: Minimalist, Bold, Dark, Corporate, Aesthetic</t>
        </is>
      </c>
      <c r="E28" s="33" t="inlineStr">
        <is>
          <t>Modal catalog terbuka mulus, semua 32 template memiliki thumbnail preview dan badge kategori.</t>
        </is>
      </c>
      <c r="F28" s="31" t="inlineStr">
        <is>
          <t>HIGH</t>
        </is>
      </c>
      <c r="G28" s="34" t="inlineStr">
        <is>
          <t>UNTESTED</t>
        </is>
      </c>
      <c r="H28" s="33" t="inlineStr"/>
      <c r="I28" s="35" t="inlineStr"/>
      <c r="J28" s="36" t="inlineStr"/>
    </row>
    <row r="29" ht="55" customHeight="1">
      <c r="A29" s="37" t="n">
        <v>20</v>
      </c>
      <c r="B29" s="38" t="inlineStr">
        <is>
          <t>Template Picker</t>
        </is>
      </c>
      <c r="C29" s="39" t="inlineStr">
        <is>
          <t>Pemilihan Template &amp; Persistensi</t>
        </is>
      </c>
      <c r="D29" s="39" t="inlineStr">
        <is>
          <t>1. Pilih template 'Cyber Neon'
2. Lakukan Generate konten
3. Masuk ke Studio</t>
        </is>
      </c>
      <c r="E29" s="39" t="inlineStr">
        <is>
          <t>Desain slide di Studio otomatis menggunakan tema, warna, dan font 'Cyber Neon'.</t>
        </is>
      </c>
      <c r="F29" s="37" t="inlineStr">
        <is>
          <t>CRITICAL</t>
        </is>
      </c>
      <c r="G29" s="34" t="inlineStr">
        <is>
          <t>UNTESTED</t>
        </is>
      </c>
      <c r="H29" s="39" t="inlineStr"/>
      <c r="I29" s="40" t="inlineStr"/>
      <c r="J29" s="41" t="inlineStr"/>
    </row>
    <row r="30" ht="55" customHeight="1">
      <c r="A30" s="31" t="n">
        <v>21</v>
      </c>
      <c r="B30" s="32" t="inlineStr">
        <is>
          <t>Template Picker</t>
        </is>
      </c>
      <c r="C30" s="33" t="inlineStr">
        <is>
          <t>Ganti Template Langsung di Studio</t>
        </is>
      </c>
      <c r="D30" s="33" t="inlineStr">
        <is>
          <t>1. Di dalam Studio, klik tombol ganti template
2. Pilih template 'Minimalist Clean'</t>
        </is>
      </c>
      <c r="E30" s="33" t="inlineStr">
        <is>
          <t>Semua slide langsung berganti tema visual tanpa menghilangkan teks yang sudah ditulis.</t>
        </is>
      </c>
      <c r="F30" s="31" t="inlineStr">
        <is>
          <t>HIGH</t>
        </is>
      </c>
      <c r="G30" s="34" t="inlineStr">
        <is>
          <t>UNTESTED</t>
        </is>
      </c>
      <c r="H30" s="33" t="inlineStr"/>
      <c r="I30" s="35" t="inlineStr"/>
      <c r="J30" s="36" t="inlineStr"/>
    </row>
    <row r="31" ht="24" customHeight="1">
      <c r="A31" s="30" t="inlineStr">
        <is>
          <t>5. AI VISUAL ART STYLE &amp; GAMBAR</t>
        </is>
      </c>
      <c r="B31" s="8" t="n"/>
      <c r="C31" s="8" t="n"/>
      <c r="D31" s="8" t="n"/>
      <c r="E31" s="8" t="n"/>
      <c r="F31" s="8" t="n"/>
      <c r="G31" s="8" t="n"/>
      <c r="H31" s="8" t="n"/>
      <c r="I31" s="8" t="n"/>
      <c r="J31" s="8" t="n"/>
    </row>
    <row r="32" ht="55" customHeight="1">
      <c r="A32" s="37" t="n">
        <v>22</v>
      </c>
      <c r="B32" s="38" t="inlineStr">
        <is>
          <t>AI Art Style</t>
        </is>
      </c>
      <c r="C32" s="39" t="inlineStr">
        <is>
          <t>Pemilihan Gaya Seni Visual AI</t>
        </is>
      </c>
      <c r="D32" s="39" t="inlineStr">
        <is>
          <t>1. Pilih gaya: '3D Render', 'Photorealistic', 'Vector Flat', 'Anime', 'Cyberpunk'
2. Generate</t>
        </is>
      </c>
      <c r="E32" s="39" t="inlineStr">
        <is>
          <t>AI Image Generator membuat gambar sesuai karakteristik gaya visual yang dipilih.</t>
        </is>
      </c>
      <c r="F32" s="37" t="inlineStr">
        <is>
          <t>HIGH</t>
        </is>
      </c>
      <c r="G32" s="34" t="inlineStr">
        <is>
          <t>UNTESTED</t>
        </is>
      </c>
      <c r="H32" s="39" t="inlineStr"/>
      <c r="I32" s="40" t="inlineStr"/>
      <c r="J32" s="41" t="inlineStr"/>
    </row>
    <row r="33" ht="55" customHeight="1">
      <c r="A33" s="31" t="n">
        <v>23</v>
      </c>
      <c r="B33" s="32" t="inlineStr">
        <is>
          <t>AI Art Style</t>
        </is>
      </c>
      <c r="C33" s="33" t="inlineStr">
        <is>
          <t>Ganti Gaya Gambar Setelah Tergenerate</t>
        </is>
      </c>
      <c r="D33" s="33" t="inlineStr">
        <is>
          <t>1. Di slide editor, klik menu gaya seni visual
2. Ubah dari 'Photorealistic' ke '3D Render'
3. Klik 'Regenerate Image'</t>
        </is>
      </c>
      <c r="E33" s="33" t="inlineStr">
        <is>
          <t>Gambar pada slide tersebut ter-generate ulang dengan style baru tanpa merusak teks slide.</t>
        </is>
      </c>
      <c r="F33" s="31" t="inlineStr">
        <is>
          <t>CRITICAL</t>
        </is>
      </c>
      <c r="G33" s="34" t="inlineStr">
        <is>
          <t>UNTESTED</t>
        </is>
      </c>
      <c r="H33" s="33" t="inlineStr"/>
      <c r="I33" s="35" t="inlineStr"/>
      <c r="J33" s="36" t="inlineStr"/>
    </row>
    <row r="34" ht="55" customHeight="1">
      <c r="A34" s="37" t="n">
        <v>24</v>
      </c>
      <c r="B34" s="38" t="inlineStr">
        <is>
          <t>AI Art Style</t>
        </is>
      </c>
      <c r="C34" s="39" t="inlineStr">
        <is>
          <t>Edit Custom Image Prompt</t>
        </is>
      </c>
      <c r="D34" s="39" t="inlineStr">
        <is>
          <t>1. Klik ikon edit prompt gambar pada slide
2. Tambahkan detail spesifik
3. Klik Buat Ulang</t>
        </is>
      </c>
      <c r="E34" s="39" t="inlineStr">
        <is>
          <t>AI merender gambar sesuai prompt custom baru.</t>
        </is>
      </c>
      <c r="F34" s="37" t="inlineStr">
        <is>
          <t>MEDIUM</t>
        </is>
      </c>
      <c r="G34" s="34" t="inlineStr">
        <is>
          <t>UNTESTED</t>
        </is>
      </c>
      <c r="H34" s="39" t="inlineStr"/>
      <c r="I34" s="40" t="inlineStr"/>
      <c r="J34" s="41" t="inlineStr"/>
    </row>
    <row r="35" ht="55" customHeight="1">
      <c r="A35" s="31" t="n">
        <v>25</v>
      </c>
      <c r="B35" s="32" t="inlineStr">
        <is>
          <t>AI Art Style</t>
        </is>
      </c>
      <c r="C35" s="33" t="inlineStr">
        <is>
          <t>Upload Gambar Sendiri dari HP/PC</t>
        </is>
      </c>
      <c r="D35" s="33" t="inlineStr">
        <is>
          <t>1. Klik tombol 'Upload Gambar'
2. Pilih foto dari galeri/file explorer</t>
        </is>
      </c>
      <c r="E35" s="33" t="inlineStr">
        <is>
          <t>Foto ter-upload dan terpasang sempurna di slide dengan rasio yang tepat (4:5 / 1:1).</t>
        </is>
      </c>
      <c r="F35" s="31" t="inlineStr">
        <is>
          <t>HIGH</t>
        </is>
      </c>
      <c r="G35" s="34" t="inlineStr">
        <is>
          <t>UNTESTED</t>
        </is>
      </c>
      <c r="H35" s="33" t="inlineStr"/>
      <c r="I35" s="35" t="inlineStr"/>
      <c r="J35" s="36" t="inlineStr"/>
    </row>
    <row r="36" ht="24" customHeight="1">
      <c r="A36" s="30" t="inlineStr">
        <is>
          <t>6. CAROUSEL STUDIO &amp; SLIDE EDITOR</t>
        </is>
      </c>
      <c r="B36" s="8" t="n"/>
      <c r="C36" s="8" t="n"/>
      <c r="D36" s="8" t="n"/>
      <c r="E36" s="8" t="n"/>
      <c r="F36" s="8" t="n"/>
      <c r="G36" s="8" t="n"/>
      <c r="H36" s="8" t="n"/>
      <c r="I36" s="8" t="n"/>
      <c r="J36" s="8" t="n"/>
    </row>
    <row r="37" ht="55" customHeight="1">
      <c r="A37" s="37" t="n">
        <v>26</v>
      </c>
      <c r="B37" s="38" t="inlineStr">
        <is>
          <t>Studio Editor</t>
        </is>
      </c>
      <c r="C37" s="39" t="inlineStr">
        <is>
          <t>Edit Teks Langsung di Slide (Inline)</t>
        </is>
      </c>
      <c r="D37" s="39" t="inlineStr">
        <is>
          <t>1. Klik teks judul di canvas
2. Ketik teks baru</t>
        </is>
      </c>
      <c r="E37" s="39" t="inlineStr">
        <is>
          <t>Teks langsung terupdate di canvas secara real-time tanpa delay.</t>
        </is>
      </c>
      <c r="F37" s="37" t="inlineStr">
        <is>
          <t>CRITICAL</t>
        </is>
      </c>
      <c r="G37" s="34" t="inlineStr">
        <is>
          <t>UNTESTED</t>
        </is>
      </c>
      <c r="H37" s="39" t="inlineStr"/>
      <c r="I37" s="40" t="inlineStr"/>
      <c r="J37" s="41" t="inlineStr"/>
    </row>
    <row r="38" ht="55" customHeight="1">
      <c r="A38" s="31" t="n">
        <v>27</v>
      </c>
      <c r="B38" s="32" t="inlineStr">
        <is>
          <t>Studio Editor</t>
        </is>
      </c>
      <c r="C38" s="33" t="inlineStr">
        <is>
          <t>Ganti Layout per Slide</t>
        </is>
      </c>
      <c r="D38" s="33" t="inlineStr">
        <is>
          <t>1. Pilih slide 2
2. Ganti layout ke 'Perbandingan / Comparison'
3. Pilih slide 3 ganti ke 'Quote'</t>
        </is>
      </c>
      <c r="E38" s="33" t="inlineStr">
        <is>
          <t>Layout per slide berubah dinamis (struktur kolom, posisi teks, icon) sesuai jenis layout.</t>
        </is>
      </c>
      <c r="F38" s="31" t="inlineStr">
        <is>
          <t>HIGH</t>
        </is>
      </c>
      <c r="G38" s="34" t="inlineStr">
        <is>
          <t>UNTESTED</t>
        </is>
      </c>
      <c r="H38" s="33" t="inlineStr"/>
      <c r="I38" s="35" t="inlineStr"/>
      <c r="J38" s="36" t="inlineStr"/>
    </row>
    <row r="39" ht="55" customHeight="1">
      <c r="A39" s="37" t="n">
        <v>28</v>
      </c>
      <c r="B39" s="38" t="inlineStr">
        <is>
          <t>Studio Editor</t>
        </is>
      </c>
      <c r="C39" s="39" t="inlineStr">
        <is>
          <t>Tambah, Hapus &amp; Duplikat Slide</t>
        </is>
      </c>
      <c r="D39" s="39" t="inlineStr">
        <is>
          <t>1. Klik '+ Tambah Slide'
2. Klik ikon duplikat pada slide 1
3. Hapus slide 3</t>
        </is>
      </c>
      <c r="E39" s="39" t="inlineStr">
        <is>
          <t>Slide baru muncul, slide duplikat persis sama, dan slide yang dihapus hilang secara benar.</t>
        </is>
      </c>
      <c r="F39" s="37" t="inlineStr">
        <is>
          <t>HIGH</t>
        </is>
      </c>
      <c r="G39" s="34" t="inlineStr">
        <is>
          <t>UNTESTED</t>
        </is>
      </c>
      <c r="H39" s="39" t="inlineStr"/>
      <c r="I39" s="40" t="inlineStr"/>
      <c r="J39" s="41" t="inlineStr"/>
    </row>
    <row r="40" ht="55" customHeight="1">
      <c r="A40" s="31" t="n">
        <v>29</v>
      </c>
      <c r="B40" s="32" t="inlineStr">
        <is>
          <t>Studio Editor</t>
        </is>
      </c>
      <c r="C40" s="33" t="inlineStr">
        <is>
          <t>Reorder / Urutan Slide</t>
        </is>
      </c>
      <c r="D40" s="33" t="inlineStr">
        <is>
          <t>1. Drag &amp; drop thumbnail slide 3 ke posisi 1</t>
        </is>
      </c>
      <c r="E40" s="33" t="inlineStr">
        <is>
          <t>Urutan slide berpindah dan nomor urut slide di canvas otomatis menyesuaikan.</t>
        </is>
      </c>
      <c r="F40" s="31" t="inlineStr">
        <is>
          <t>HIGH</t>
        </is>
      </c>
      <c r="G40" s="34" t="inlineStr">
        <is>
          <t>UNTESTED</t>
        </is>
      </c>
      <c r="H40" s="33" t="inlineStr"/>
      <c r="I40" s="35" t="inlineStr"/>
      <c r="J40" s="36" t="inlineStr"/>
    </row>
    <row r="41" ht="55" customHeight="1">
      <c r="A41" s="37" t="n">
        <v>30</v>
      </c>
      <c r="B41" s="38" t="inlineStr">
        <is>
          <t>Studio Editor</t>
        </is>
      </c>
      <c r="C41" s="39" t="inlineStr">
        <is>
          <t>Kustomisasi Tipografi &amp; Warna</t>
        </is>
      </c>
      <c r="D41" s="39" t="inlineStr">
        <is>
          <t>1. Ubah font family (Montserrat, Poppins, Inter, Playfair)
2. Ubah warna teks &amp; background</t>
        </is>
      </c>
      <c r="E41" s="39" t="inlineStr">
        <is>
          <t>Font dan warna slide langsung berubah sesuai pilihan.</t>
        </is>
      </c>
      <c r="F41" s="37" t="inlineStr">
        <is>
          <t>HIGH</t>
        </is>
      </c>
      <c r="G41" s="34" t="inlineStr">
        <is>
          <t>UNTESTED</t>
        </is>
      </c>
      <c r="H41" s="39" t="inlineStr"/>
      <c r="I41" s="40" t="inlineStr"/>
      <c r="J41" s="41" t="inlineStr"/>
    </row>
    <row r="42" ht="55" customHeight="1">
      <c r="A42" s="31" t="n">
        <v>31</v>
      </c>
      <c r="B42" s="32" t="inlineStr">
        <is>
          <t>Studio Editor</t>
        </is>
      </c>
      <c r="C42" s="33" t="inlineStr">
        <is>
          <t>Undo &amp; Redo Action</t>
        </is>
      </c>
      <c r="D42" s="33" t="inlineStr">
        <is>
          <t>1. Hapus satu blok teks
2. Klik tombol Undo
3. Klik tombol Redo</t>
        </is>
      </c>
      <c r="E42" s="33" t="inlineStr">
        <is>
          <t>Teks yang terhapus kembali saat Undo, dan terhapus kembali saat Redo.</t>
        </is>
      </c>
      <c r="F42" s="31" t="inlineStr">
        <is>
          <t>MEDIUM</t>
        </is>
      </c>
      <c r="G42" s="34" t="inlineStr">
        <is>
          <t>UNTESTED</t>
        </is>
      </c>
      <c r="H42" s="33" t="inlineStr"/>
      <c r="I42" s="35" t="inlineStr"/>
      <c r="J42" s="36" t="inlineStr"/>
    </row>
    <row r="43" ht="55" customHeight="1">
      <c r="A43" s="37" t="n">
        <v>32</v>
      </c>
      <c r="B43" s="38" t="inlineStr">
        <is>
          <t>Studio Editor</t>
        </is>
      </c>
      <c r="C43" s="39" t="inlineStr">
        <is>
          <t>Auto-Save Proyek</t>
        </is>
      </c>
      <c r="D43" s="39" t="inlineStr">
        <is>
          <t>1. Edit beberapa slide
2. Tunggu 3 detik
3. Refresh halaman</t>
        </is>
      </c>
      <c r="E43" s="39" t="inlineStr">
        <is>
          <t>Perubahan tersimpan otomatis di cloud/database dan tidak hilang saat di-refresh.</t>
        </is>
      </c>
      <c r="F43" s="37" t="inlineStr">
        <is>
          <t>CRITICAL</t>
        </is>
      </c>
      <c r="G43" s="34" t="inlineStr">
        <is>
          <t>UNTESTED</t>
        </is>
      </c>
      <c r="H43" s="39" t="inlineStr"/>
      <c r="I43" s="40" t="inlineStr"/>
      <c r="J43" s="41" t="inlineStr"/>
    </row>
    <row r="44" ht="24" customHeight="1">
      <c r="A44" s="30" t="inlineStr">
        <is>
          <t>7. BRAND KIT (LOGO &amp; IDENTITAS)</t>
        </is>
      </c>
      <c r="B44" s="8" t="n"/>
      <c r="C44" s="8" t="n"/>
      <c r="D44" s="8" t="n"/>
      <c r="E44" s="8" t="n"/>
      <c r="F44" s="8" t="n"/>
      <c r="G44" s="8" t="n"/>
      <c r="H44" s="8" t="n"/>
      <c r="I44" s="8" t="n"/>
      <c r="J44" s="8" t="n"/>
    </row>
    <row r="45" ht="55" customHeight="1">
      <c r="A45" s="31" t="n">
        <v>33</v>
      </c>
      <c r="B45" s="32" t="inlineStr">
        <is>
          <t>Brand Kit</t>
        </is>
      </c>
      <c r="C45" s="33" t="inlineStr">
        <is>
          <t>Upload Logo Brand Transparan</t>
        </is>
      </c>
      <c r="D45" s="33" t="inlineStr">
        <is>
          <t>1. Buka /brand-kit
2. Upload file logo .png transparan</t>
        </is>
      </c>
      <c r="E45" s="33" t="inlineStr">
        <is>
          <t>Logo tersimpan dan muncul preview-nya.</t>
        </is>
      </c>
      <c r="F45" s="31" t="inlineStr">
        <is>
          <t>HIGH</t>
        </is>
      </c>
      <c r="G45" s="34" t="inlineStr">
        <is>
          <t>UNTESTED</t>
        </is>
      </c>
      <c r="H45" s="33" t="inlineStr"/>
      <c r="I45" s="35" t="inlineStr"/>
      <c r="J45" s="36" t="inlineStr"/>
    </row>
    <row r="46" ht="55" customHeight="1">
      <c r="A46" s="37" t="n">
        <v>34</v>
      </c>
      <c r="B46" s="38" t="inlineStr">
        <is>
          <t>Brand Kit</t>
        </is>
      </c>
      <c r="C46" s="39" t="inlineStr">
        <is>
          <t>Set Palet Warna &amp; Handle Instagram</t>
        </is>
      </c>
      <c r="D46" s="39" t="inlineStr">
        <is>
          <t>1. Masukkan kode HEX warna brand
2. Masukkan handle: @namabrand
3. Klik Simpan</t>
        </is>
      </c>
      <c r="E46" s="39" t="inlineStr">
        <is>
          <t>Data brand tersimpan ke database profil akun.</t>
        </is>
      </c>
      <c r="F46" s="37" t="inlineStr">
        <is>
          <t>HIGH</t>
        </is>
      </c>
      <c r="G46" s="34" t="inlineStr">
        <is>
          <t>UNTESTED</t>
        </is>
      </c>
      <c r="H46" s="39" t="inlineStr"/>
      <c r="I46" s="40" t="inlineStr"/>
      <c r="J46" s="41" t="inlineStr"/>
    </row>
    <row r="47" ht="55" customHeight="1">
      <c r="A47" s="31" t="n">
        <v>35</v>
      </c>
      <c r="B47" s="32" t="inlineStr">
        <is>
          <t>Brand Kit</t>
        </is>
      </c>
      <c r="C47" s="33" t="inlineStr">
        <is>
          <t>Terapkan Brand Kit ke Carousel</t>
        </is>
      </c>
      <c r="D47" s="33" t="inlineStr">
        <is>
          <t>1. Di Studio, aktifkan switch 'Terapkan Brand Kit'</t>
        </is>
      </c>
      <c r="E47" s="33" t="inlineStr">
        <is>
          <t>Logo, handle @namabrand, dan warna brand otomatis menempel di seluruh slide carousel.</t>
        </is>
      </c>
      <c r="F47" s="31" t="inlineStr">
        <is>
          <t>CRITICAL</t>
        </is>
      </c>
      <c r="G47" s="34" t="inlineStr">
        <is>
          <t>UNTESTED</t>
        </is>
      </c>
      <c r="H47" s="33" t="inlineStr"/>
      <c r="I47" s="35" t="inlineStr"/>
      <c r="J47" s="36" t="inlineStr"/>
    </row>
    <row r="48" ht="24" customHeight="1">
      <c r="A48" s="30" t="inlineStr">
        <is>
          <t>8. EXPORT &amp; DOWNLOAD ENGINE</t>
        </is>
      </c>
      <c r="B48" s="8" t="n"/>
      <c r="C48" s="8" t="n"/>
      <c r="D48" s="8" t="n"/>
      <c r="E48" s="8" t="n"/>
      <c r="F48" s="8" t="n"/>
      <c r="G48" s="8" t="n"/>
      <c r="H48" s="8" t="n"/>
      <c r="I48" s="8" t="n"/>
      <c r="J48" s="8" t="n"/>
    </row>
    <row r="49" ht="55" customHeight="1">
      <c r="A49" s="37" t="n">
        <v>36</v>
      </c>
      <c r="B49" s="38" t="inlineStr">
        <is>
          <t>Export</t>
        </is>
      </c>
      <c r="C49" s="39" t="inlineStr">
        <is>
          <t>Download Semua Slide (ZIP Gambar HD)</t>
        </is>
      </c>
      <c r="D49" s="39" t="inlineStr">
        <is>
          <t>1. Di Studio, klik tombol 'Export'
2. Pilih 'Download Semua (ZIP)'</t>
        </is>
      </c>
      <c r="E49" s="39" t="inlineStr">
        <is>
          <t>File .zip terunduh berisi semua file PNG resolusi tinggi (1080x1350) tanpa pecah/buram.</t>
        </is>
      </c>
      <c r="F49" s="37" t="inlineStr">
        <is>
          <t>CRITICAL</t>
        </is>
      </c>
      <c r="G49" s="34" t="inlineStr">
        <is>
          <t>UNTESTED</t>
        </is>
      </c>
      <c r="H49" s="39" t="inlineStr"/>
      <c r="I49" s="40" t="inlineStr"/>
      <c r="J49" s="41" t="inlineStr"/>
    </row>
    <row r="50" ht="55" customHeight="1">
      <c r="A50" s="31" t="n">
        <v>37</v>
      </c>
      <c r="B50" s="32" t="inlineStr">
        <is>
          <t>Export</t>
        </is>
      </c>
      <c r="C50" s="33" t="inlineStr">
        <is>
          <t>Download Multi-Page PDF (LinkedIn Carousel)</t>
        </is>
      </c>
      <c r="D50" s="33" t="inlineStr">
        <is>
          <t>1. Klik 'Export' -&gt; Pilih 'Download PDF Document'</t>
        </is>
      </c>
      <c r="E50" s="33" t="inlineStr">
        <is>
          <t>File .pdf terunduh dengan setiap halaman berisi 1 slide beresolusi tajam.</t>
        </is>
      </c>
      <c r="F50" s="31" t="inlineStr">
        <is>
          <t>HIGH</t>
        </is>
      </c>
      <c r="G50" s="34" t="inlineStr">
        <is>
          <t>UNTESTED</t>
        </is>
      </c>
      <c r="H50" s="33" t="inlineStr"/>
      <c r="I50" s="35" t="inlineStr"/>
      <c r="J50" s="36" t="inlineStr"/>
    </row>
    <row r="51" ht="55" customHeight="1">
      <c r="A51" s="37" t="n">
        <v>38</v>
      </c>
      <c r="B51" s="38" t="inlineStr">
        <is>
          <t>Export</t>
        </is>
      </c>
      <c r="C51" s="39" t="inlineStr">
        <is>
          <t>Download Single Slide (PNG)</t>
        </is>
      </c>
      <c r="D51" s="39" t="inlineStr">
        <is>
          <t>1. Pilih slide tertentu
2. Klik 'Download Slide Ini'</t>
        </is>
      </c>
      <c r="E51" s="39" t="inlineStr">
        <is>
          <t>Hanya 1 gambar slide aktif yang terunduh.</t>
        </is>
      </c>
      <c r="F51" s="37" t="inlineStr">
        <is>
          <t>MEDIUM</t>
        </is>
      </c>
      <c r="G51" s="34" t="inlineStr">
        <is>
          <t>UNTESTED</t>
        </is>
      </c>
      <c r="H51" s="39" t="inlineStr"/>
      <c r="I51" s="40" t="inlineStr"/>
      <c r="J51" s="41" t="inlineStr"/>
    </row>
    <row r="52" ht="55" customHeight="1">
      <c r="A52" s="31" t="n">
        <v>39</v>
      </c>
      <c r="B52" s="32" t="inlineStr">
        <is>
          <t>Export</t>
        </is>
      </c>
      <c r="C52" s="33" t="inlineStr">
        <is>
          <t>Salin Caption &amp; Hashtag AI</t>
        </is>
      </c>
      <c r="D52" s="33" t="inlineStr">
        <is>
          <t>1. Buka tab Caption di Studio
2. Klik tombol 'Salin Caption'</t>
        </is>
      </c>
      <c r="E52" s="33" t="inlineStr">
        <is>
          <t>Teks caption beserta hashtag relevan tersalin ke clipboard dan siap di-paste ke Instagram.</t>
        </is>
      </c>
      <c r="F52" s="31" t="inlineStr">
        <is>
          <t>HIGH</t>
        </is>
      </c>
      <c r="G52" s="34" t="inlineStr">
        <is>
          <t>UNTESTED</t>
        </is>
      </c>
      <c r="H52" s="33" t="inlineStr"/>
      <c r="I52" s="35" t="inlineStr"/>
      <c r="J52" s="36" t="inlineStr"/>
    </row>
    <row r="53" ht="55" customHeight="1">
      <c r="A53" s="37" t="n">
        <v>40</v>
      </c>
      <c r="B53" s="38" t="inlineStr">
        <is>
          <t>Export</t>
        </is>
      </c>
      <c r="C53" s="39" t="inlineStr">
        <is>
          <t>Aturan Watermark (Free vs Pro)</t>
        </is>
      </c>
      <c r="D53" s="39" t="inlineStr">
        <is>
          <t>1. Export pada akun Free/Trial -&gt; Cek watermark
2. Export pada akun Pro -&gt; Cek watermark</t>
        </is>
      </c>
      <c r="E53" s="39" t="inlineStr">
        <is>
          <t>Akun Free memiliki watermark kecil, akun Pro bersih 100% tanpa watermark.</t>
        </is>
      </c>
      <c r="F53" s="37" t="inlineStr">
        <is>
          <t>HIGH</t>
        </is>
      </c>
      <c r="G53" s="34" t="inlineStr">
        <is>
          <t>UNTESTED</t>
        </is>
      </c>
      <c r="H53" s="39" t="inlineStr"/>
      <c r="I53" s="40" t="inlineStr"/>
      <c r="J53" s="41" t="inlineStr"/>
    </row>
    <row r="54" ht="24" customHeight="1">
      <c r="A54" s="30" t="inlineStr">
        <is>
          <t>9. CONTENT CALENDAR &amp; SCHEDULING</t>
        </is>
      </c>
      <c r="B54" s="8" t="n"/>
      <c r="C54" s="8" t="n"/>
      <c r="D54" s="8" t="n"/>
      <c r="E54" s="8" t="n"/>
      <c r="F54" s="8" t="n"/>
      <c r="G54" s="8" t="n"/>
      <c r="H54" s="8" t="n"/>
      <c r="I54" s="8" t="n"/>
      <c r="J54" s="8" t="n"/>
    </row>
    <row r="55" ht="55" customHeight="1">
      <c r="A55" s="31" t="n">
        <v>41</v>
      </c>
      <c r="B55" s="32" t="inlineStr">
        <is>
          <t>Kalender</t>
        </is>
      </c>
      <c r="C55" s="33" t="inlineStr">
        <is>
          <t>Tampilan Kalender Konten</t>
        </is>
      </c>
      <c r="D55" s="33" t="inlineStr">
        <is>
          <t>1. Buka menu /calendar
2. Cek tampilan Bulan, Minggu, Hari</t>
        </is>
      </c>
      <c r="E55" s="33" t="inlineStr">
        <is>
          <t>Grid kalender tersusun rapi dengan indikator tanggal hari ini yang jelas.</t>
        </is>
      </c>
      <c r="F55" s="31" t="inlineStr">
        <is>
          <t>HIGH</t>
        </is>
      </c>
      <c r="G55" s="34" t="inlineStr">
        <is>
          <t>UNTESTED</t>
        </is>
      </c>
      <c r="H55" s="33" t="inlineStr"/>
      <c r="I55" s="35" t="inlineStr"/>
      <c r="J55" s="36" t="inlineStr"/>
    </row>
    <row r="56" ht="55" customHeight="1">
      <c r="A56" s="37" t="n">
        <v>42</v>
      </c>
      <c r="B56" s="38" t="inlineStr">
        <is>
          <t>Kalender</t>
        </is>
      </c>
      <c r="C56" s="39" t="inlineStr">
        <is>
          <t>Jadwalkan Konten ke Tanggal Tertentu</t>
        </is>
      </c>
      <c r="D56" s="39" t="inlineStr">
        <is>
          <t>1. Dari Studio, klik 'Jadwalkan Konten'
2. Pilih tanggal &amp; jam tayang</t>
        </is>
      </c>
      <c r="E56" s="39" t="inlineStr">
        <is>
          <t>Konten muncul di kartu tanggal kalender dengan status 'Scheduled' / 'Draft'.</t>
        </is>
      </c>
      <c r="F56" s="37" t="inlineStr">
        <is>
          <t>HIGH</t>
        </is>
      </c>
      <c r="G56" s="34" t="inlineStr">
        <is>
          <t>UNTESTED</t>
        </is>
      </c>
      <c r="H56" s="39" t="inlineStr"/>
      <c r="I56" s="40" t="inlineStr"/>
      <c r="J56" s="41" t="inlineStr"/>
    </row>
    <row r="57" ht="55" customHeight="1">
      <c r="A57" s="31" t="n">
        <v>43</v>
      </c>
      <c r="B57" s="32" t="inlineStr">
        <is>
          <t>Kalender</t>
        </is>
      </c>
      <c r="C57" s="33" t="inlineStr">
        <is>
          <t>Drag &amp; Drop Reschedule</t>
        </is>
      </c>
      <c r="D57" s="33" t="inlineStr">
        <is>
          <t>1. Tarik kartu postingan dari tgl 15 ke tgl 18</t>
        </is>
      </c>
      <c r="E57" s="33" t="inlineStr">
        <is>
          <t>Jadwal postingan otomatis terupdate ke tanggal 18.</t>
        </is>
      </c>
      <c r="F57" s="31" t="inlineStr">
        <is>
          <t>MEDIUM</t>
        </is>
      </c>
      <c r="G57" s="34" t="inlineStr">
        <is>
          <t>UNTESTED</t>
        </is>
      </c>
      <c r="H57" s="33" t="inlineStr"/>
      <c r="I57" s="35" t="inlineStr"/>
      <c r="J57" s="36" t="inlineStr"/>
    </row>
    <row r="58" ht="55" customHeight="1">
      <c r="A58" s="37" t="n">
        <v>44</v>
      </c>
      <c r="B58" s="38" t="inlineStr">
        <is>
          <t>Kalender</t>
        </is>
      </c>
      <c r="C58" s="39" t="inlineStr">
        <is>
          <t>Koneksi Akun Instagram (Meta API)</t>
        </is>
      </c>
      <c r="D58" s="39" t="inlineStr">
        <is>
          <t>1. Klik 'Sambungkan Instagram'
2. Login akun Facebook/Meta</t>
        </is>
      </c>
      <c r="E58" s="39" t="inlineStr">
        <is>
          <t>Akun IG Business terhubung dan status koneksi berubah hijau (Connected).</t>
        </is>
      </c>
      <c r="F58" s="37" t="inlineStr">
        <is>
          <t>HIGH</t>
        </is>
      </c>
      <c r="G58" s="34" t="inlineStr">
        <is>
          <t>UNTESTED</t>
        </is>
      </c>
      <c r="H58" s="39" t="inlineStr"/>
      <c r="I58" s="40" t="inlineStr"/>
      <c r="J58" s="41" t="inlineStr"/>
    </row>
    <row r="59" ht="24" customHeight="1">
      <c r="A59" s="30" t="inlineStr">
        <is>
          <t>10. BILLING &amp; MIDTRANS PAYMENT GATEWAY</t>
        </is>
      </c>
      <c r="B59" s="8" t="n"/>
      <c r="C59" s="8" t="n"/>
      <c r="D59" s="8" t="n"/>
      <c r="E59" s="8" t="n"/>
      <c r="F59" s="8" t="n"/>
      <c r="G59" s="8" t="n"/>
      <c r="H59" s="8" t="n"/>
      <c r="I59" s="8" t="n"/>
      <c r="J59" s="8" t="n"/>
    </row>
    <row r="60" ht="55" customHeight="1">
      <c r="A60" s="31" t="n">
        <v>45</v>
      </c>
      <c r="B60" s="32" t="inlineStr">
        <is>
          <t>Billing</t>
        </is>
      </c>
      <c r="C60" s="33" t="inlineStr">
        <is>
          <t>Pengurangan Kuota Real-time</t>
        </is>
      </c>
      <c r="D60" s="33" t="inlineStr">
        <is>
          <t>1. Cek sisa kuota (misal: 3)
2. Lakukan 1x generate
3. Cek sisa kuota kembali</t>
        </is>
      </c>
      <c r="E60" s="33" t="inlineStr">
        <is>
          <t>Kuota otomatis berkurang 1 (menjadi 2) tanpa perlu relog.</t>
        </is>
      </c>
      <c r="F60" s="31" t="inlineStr">
        <is>
          <t>CRITICAL</t>
        </is>
      </c>
      <c r="G60" s="34" t="inlineStr">
        <is>
          <t>UNTESTED</t>
        </is>
      </c>
      <c r="H60" s="33" t="inlineStr"/>
      <c r="I60" s="35" t="inlineStr"/>
      <c r="J60" s="36" t="inlineStr"/>
    </row>
    <row r="61" ht="55" customHeight="1">
      <c r="A61" s="37" t="n">
        <v>46</v>
      </c>
      <c r="B61" s="38" t="inlineStr">
        <is>
          <t>Billing</t>
        </is>
      </c>
      <c r="C61" s="39" t="inlineStr">
        <is>
          <t>Modal Notifikasi Kuota Habis</t>
        </is>
      </c>
      <c r="D61" s="39" t="inlineStr">
        <is>
          <t>1. Gunakan kuota hingga 0
2. Coba klik Generate lagi</t>
        </is>
      </c>
      <c r="E61" s="39" t="inlineStr">
        <is>
          <t>Muncul popup friendly 'Kuota Habis' dengan tombol Upgrade Paket.</t>
        </is>
      </c>
      <c r="F61" s="37" t="inlineStr">
        <is>
          <t>HIGH</t>
        </is>
      </c>
      <c r="G61" s="34" t="inlineStr">
        <is>
          <t>UNTESTED</t>
        </is>
      </c>
      <c r="H61" s="39" t="inlineStr"/>
      <c r="I61" s="40" t="inlineStr"/>
      <c r="J61" s="41" t="inlineStr"/>
    </row>
    <row r="62" ht="55" customHeight="1">
      <c r="A62" s="31" t="n">
        <v>47</v>
      </c>
      <c r="B62" s="32" t="inlineStr">
        <is>
          <t>Billing</t>
        </is>
      </c>
      <c r="C62" s="33" t="inlineStr">
        <is>
          <t>Pilihan Paket Langganan</t>
        </is>
      </c>
      <c r="D62" s="33" t="inlineStr">
        <is>
          <t>1. Buka halaman /pricing atau /upgrade
2. Cek paket Bulanan &amp; Tahunan</t>
        </is>
      </c>
      <c r="E62" s="33" t="inlineStr">
        <is>
          <t>Harga, benefit, dan tombol checkout tampil jelas dan rapi.</t>
        </is>
      </c>
      <c r="F62" s="31" t="inlineStr">
        <is>
          <t>HIGH</t>
        </is>
      </c>
      <c r="G62" s="34" t="inlineStr">
        <is>
          <t>UNTESTED</t>
        </is>
      </c>
      <c r="H62" s="33" t="inlineStr"/>
      <c r="I62" s="35" t="inlineStr"/>
      <c r="J62" s="36" t="inlineStr"/>
    </row>
    <row r="63" ht="55" customHeight="1">
      <c r="A63" s="37" t="n">
        <v>48</v>
      </c>
      <c r="B63" s="38" t="inlineStr">
        <is>
          <t>Billing</t>
        </is>
      </c>
      <c r="C63" s="39" t="inlineStr">
        <is>
          <t>Popup Pembayaran Midtrans Snap</t>
        </is>
      </c>
      <c r="D63" s="39" t="inlineStr">
        <is>
          <t>1. Klik 'Upgrade Sekarang'
2. Pilih metode: QRIS / GoPay / VA Bank</t>
        </is>
      </c>
      <c r="E63" s="39" t="inlineStr">
        <is>
          <t>Modal Midtrans Snap muncul resmi dengan nominal harga yang tepat dan QRIS bisa discan.</t>
        </is>
      </c>
      <c r="F63" s="37" t="inlineStr">
        <is>
          <t>CRITICAL</t>
        </is>
      </c>
      <c r="G63" s="34" t="inlineStr">
        <is>
          <t>UNTESTED</t>
        </is>
      </c>
      <c r="H63" s="39" t="inlineStr"/>
      <c r="I63" s="40" t="inlineStr"/>
      <c r="J63" s="41" t="inlineStr"/>
    </row>
    <row r="64" ht="55" customHeight="1">
      <c r="A64" s="31" t="n">
        <v>49</v>
      </c>
      <c r="B64" s="32" t="inlineStr">
        <is>
          <t>Billing</t>
        </is>
      </c>
      <c r="C64" s="33" t="inlineStr">
        <is>
          <t>Webhook &amp; Aktivasi Instan Akun Pro</t>
        </is>
      </c>
      <c r="D64" s="33" t="inlineStr">
        <is>
          <t>1. Selesaikan pembayaran simulasi/real
2. Kembali ke aplikasi</t>
        </is>
      </c>
      <c r="E64" s="33" t="inlineStr">
        <is>
          <t>Status akun langsung berubah menjadi 'PRO', kuota bertambah otomatis tanpa refresh manual.</t>
        </is>
      </c>
      <c r="F64" s="31" t="inlineStr">
        <is>
          <t>CRITICAL</t>
        </is>
      </c>
      <c r="G64" s="34" t="inlineStr">
        <is>
          <t>UNTESTED</t>
        </is>
      </c>
      <c r="H64" s="33" t="inlineStr"/>
      <c r="I64" s="35" t="inlineStr"/>
      <c r="J64" s="36" t="inlineStr"/>
    </row>
    <row r="65" ht="24" customHeight="1">
      <c r="A65" s="30" t="inlineStr">
        <is>
          <t>11. SETTINGS HUB &amp; PROFIL</t>
        </is>
      </c>
      <c r="B65" s="8" t="n"/>
      <c r="C65" s="8" t="n"/>
      <c r="D65" s="8" t="n"/>
      <c r="E65" s="8" t="n"/>
      <c r="F65" s="8" t="n"/>
      <c r="G65" s="8" t="n"/>
      <c r="H65" s="8" t="n"/>
      <c r="I65" s="8" t="n"/>
      <c r="J65" s="8" t="n"/>
    </row>
    <row r="66" ht="55" customHeight="1">
      <c r="A66" s="37" t="n">
        <v>50</v>
      </c>
      <c r="B66" s="38" t="inlineStr">
        <is>
          <t>Settings</t>
        </is>
      </c>
      <c r="C66" s="39" t="inlineStr">
        <is>
          <t>Update Nama &amp; Foto Profil</t>
        </is>
      </c>
      <c r="D66" s="39" t="inlineStr">
        <is>
          <t>1. Buka /settings
2. Ubah nama tampilan &amp; upload avatar
3. Klik Simpan</t>
        </is>
      </c>
      <c r="E66" s="39" t="inlineStr">
        <is>
          <t>Data profil terupdate dan langsung terlihat di header avatar.</t>
        </is>
      </c>
      <c r="F66" s="37" t="inlineStr">
        <is>
          <t>MEDIUM</t>
        </is>
      </c>
      <c r="G66" s="34" t="inlineStr">
        <is>
          <t>UNTESTED</t>
        </is>
      </c>
      <c r="H66" s="39" t="inlineStr"/>
      <c r="I66" s="40" t="inlineStr"/>
      <c r="J66" s="41" t="inlineStr"/>
    </row>
    <row r="67" ht="55" customHeight="1">
      <c r="A67" s="31" t="n">
        <v>51</v>
      </c>
      <c r="B67" s="32" t="inlineStr">
        <is>
          <t>Settings</t>
        </is>
      </c>
      <c r="C67" s="33" t="inlineStr">
        <is>
          <t>Ganti Password Akun</t>
        </is>
      </c>
      <c r="D67" s="33" t="inlineStr">
        <is>
          <t>1. Masukkan password lama &amp; password baru
2. Klik Update Password</t>
        </is>
      </c>
      <c r="E67" s="33" t="inlineStr">
        <is>
          <t>Password berhasil diubah, notifikasi sukses muncul.</t>
        </is>
      </c>
      <c r="F67" s="31" t="inlineStr">
        <is>
          <t>HIGH</t>
        </is>
      </c>
      <c r="G67" s="34" t="inlineStr">
        <is>
          <t>UNTESTED</t>
        </is>
      </c>
      <c r="H67" s="33" t="inlineStr"/>
      <c r="I67" s="35" t="inlineStr"/>
      <c r="J67" s="36" t="inlineStr"/>
    </row>
    <row r="68" ht="55" customHeight="1">
      <c r="A68" s="37" t="n">
        <v>52</v>
      </c>
      <c r="B68" s="38" t="inlineStr">
        <is>
          <t>Settings</t>
        </is>
      </c>
      <c r="C68" s="39" t="inlineStr">
        <is>
          <t>Pengaturan API Key Kustom (BYOK)</t>
        </is>
      </c>
      <c r="D68" s="39" t="inlineStr">
        <is>
          <t>1. Masukkan Gemini API Key pribadi (opsional)
2. Klik Simpan</t>
        </is>
      </c>
      <c r="E68" s="39" t="inlineStr">
        <is>
          <t>Sistem memvalidasi key dan menggunakan key tersebut untuk generate.</t>
        </is>
      </c>
      <c r="F68" s="37" t="inlineStr">
        <is>
          <t>LOW</t>
        </is>
      </c>
      <c r="G68" s="34" t="inlineStr">
        <is>
          <t>UNTESTED</t>
        </is>
      </c>
      <c r="H68" s="39" t="inlineStr"/>
      <c r="I68" s="40" t="inlineStr"/>
      <c r="J68" s="41" t="inlineStr"/>
    </row>
    <row r="69" ht="24" customHeight="1">
      <c r="A69" s="30" t="inlineStr">
        <is>
          <t>12. AUDIT KHUSUS MOBILE (SMARTPHONE)</t>
        </is>
      </c>
      <c r="B69" s="8" t="n"/>
      <c r="C69" s="8" t="n"/>
      <c r="D69" s="8" t="n"/>
      <c r="E69" s="8" t="n"/>
      <c r="F69" s="8" t="n"/>
      <c r="G69" s="8" t="n"/>
      <c r="H69" s="8" t="n"/>
      <c r="I69" s="8" t="n"/>
      <c r="J69" s="8" t="n"/>
    </row>
    <row r="70" ht="55" customHeight="1">
      <c r="A70" s="31" t="n">
        <v>53</v>
      </c>
      <c r="B70" s="32" t="inlineStr">
        <is>
          <t>Mobile UX</t>
        </is>
      </c>
      <c r="C70" s="33" t="inlineStr">
        <is>
          <t>Responsivitas Halaman Utama di HP</t>
        </is>
      </c>
      <c r="D70" s="33" t="inlineStr">
        <is>
          <t>1. Buka https://pro.instadeck.id di HP (Chrome/Safari)
2. Scroll dari atas sampai bawah</t>
        </is>
      </c>
      <c r="E70" s="33" t="inlineStr">
        <is>
          <t>Tidak ada horizontal scroll liar, layout pas di layar, padding proporsional.</t>
        </is>
      </c>
      <c r="F70" s="31" t="inlineStr">
        <is>
          <t>CRITICAL</t>
        </is>
      </c>
      <c r="G70" s="34" t="inlineStr">
        <is>
          <t>UNTESTED</t>
        </is>
      </c>
      <c r="H70" s="33" t="inlineStr"/>
      <c r="I70" s="35" t="inlineStr"/>
      <c r="J70" s="36" t="inlineStr"/>
    </row>
    <row r="71" ht="55" customHeight="1">
      <c r="A71" s="37" t="n">
        <v>54</v>
      </c>
      <c r="B71" s="38" t="inlineStr">
        <is>
          <t>Mobile UX</t>
        </is>
      </c>
      <c r="C71" s="39" t="inlineStr">
        <is>
          <t>Form Input Tidak Tertutup Keyboard HP</t>
        </is>
      </c>
      <c r="D71" s="39" t="inlineStr">
        <is>
          <t>1. Tap kolom input teks di HP
2. Ketik teks saat keyboard virtual muncul</t>
        </is>
      </c>
      <c r="E71" s="39" t="inlineStr">
        <is>
          <t>Keyboard HP tidak menutupi tombol generate atau input penting, auto-scroll berjalan mulus.</t>
        </is>
      </c>
      <c r="F71" s="37" t="inlineStr">
        <is>
          <t>HIGH</t>
        </is>
      </c>
      <c r="G71" s="34" t="inlineStr">
        <is>
          <t>UNTESTED</t>
        </is>
      </c>
      <c r="H71" s="39" t="inlineStr"/>
      <c r="I71" s="40" t="inlineStr"/>
      <c r="J71" s="41" t="inlineStr"/>
    </row>
    <row r="72" ht="55" customHeight="1">
      <c r="A72" s="31" t="n">
        <v>55</v>
      </c>
      <c r="B72" s="32" t="inlineStr">
        <is>
          <t>Mobile UX</t>
        </is>
      </c>
      <c r="C72" s="33" t="inlineStr">
        <is>
          <t>Template Swiper &amp; Modal di HP</t>
        </is>
      </c>
      <c r="D72" s="33" t="inlineStr">
        <is>
          <t>1. Geser template card dengan swipe jari
2. Buka modal katalog 32 template di HP</t>
        </is>
      </c>
      <c r="E72" s="33" t="inlineStr">
        <is>
          <t>Swipe lancar tanpa patah-patah, modal pas di layar HP dengan tombol close yang mudah dijangkau.</t>
        </is>
      </c>
      <c r="F72" s="31" t="inlineStr">
        <is>
          <t>HIGH</t>
        </is>
      </c>
      <c r="G72" s="34" t="inlineStr">
        <is>
          <t>UNTESTED</t>
        </is>
      </c>
      <c r="H72" s="33" t="inlineStr"/>
      <c r="I72" s="35" t="inlineStr"/>
      <c r="J72" s="36" t="inlineStr"/>
    </row>
    <row r="73" ht="55" customHeight="1">
      <c r="A73" s="37" t="n">
        <v>56</v>
      </c>
      <c r="B73" s="38" t="inlineStr">
        <is>
          <t>Mobile UX</t>
        </is>
      </c>
      <c r="C73" s="39" t="inlineStr">
        <is>
          <t>Canvas Slide Editor di Layar Mobile</t>
        </is>
      </c>
      <c r="D73" s="39" t="inlineStr">
        <is>
          <t>1. Masuk ke Studio di layar HP
2. Cek preview slide dan thumbnail strip</t>
        </is>
      </c>
      <c r="E73" s="39" t="inlineStr">
        <is>
          <t>Slide pas 100% lebar layar, tombol navigasi next/prev mudah dipencet (finger friendly).</t>
        </is>
      </c>
      <c r="F73" s="37" t="inlineStr">
        <is>
          <t>CRITICAL</t>
        </is>
      </c>
      <c r="G73" s="34" t="inlineStr">
        <is>
          <t>UNTESTED</t>
        </is>
      </c>
      <c r="H73" s="39" t="inlineStr"/>
      <c r="I73" s="40" t="inlineStr"/>
      <c r="J73" s="41" t="inlineStr"/>
    </row>
    <row r="74" ht="55" customHeight="1">
      <c r="A74" s="31" t="n">
        <v>57</v>
      </c>
      <c r="B74" s="32" t="inlineStr">
        <is>
          <t>Mobile UX</t>
        </is>
      </c>
      <c r="C74" s="33" t="inlineStr">
        <is>
          <t>Ukuran Font &amp; Tidak Ada Teks Menumpuk</t>
        </is>
      </c>
      <c r="D74" s="33" t="inlineStr">
        <is>
          <t>1. Periksa teks judul, subtitle, tombol di seluruh halaman</t>
        </is>
      </c>
      <c r="E74" s="33" t="inlineStr">
        <is>
          <t>Font terbaca jelas (min 14px), tidak ada teks terpotong atau saling tumpang tindih.</t>
        </is>
      </c>
      <c r="F74" s="31" t="inlineStr">
        <is>
          <t>HIGH</t>
        </is>
      </c>
      <c r="G74" s="34" t="inlineStr">
        <is>
          <t>UNTESTED</t>
        </is>
      </c>
      <c r="H74" s="33" t="inlineStr"/>
      <c r="I74" s="35" t="inlineStr"/>
      <c r="J74" s="36" t="inlineStr"/>
    </row>
    <row r="75" ht="24" customHeight="1">
      <c r="A75" s="30" t="inlineStr">
        <is>
          <t>13. ERROR HANDLING &amp; KEAMANAN</t>
        </is>
      </c>
      <c r="B75" s="8" t="n"/>
      <c r="C75" s="8" t="n"/>
      <c r="D75" s="8" t="n"/>
      <c r="E75" s="8" t="n"/>
      <c r="F75" s="8" t="n"/>
      <c r="G75" s="8" t="n"/>
      <c r="H75" s="8" t="n"/>
      <c r="I75" s="8" t="n"/>
      <c r="J75" s="8" t="n"/>
    </row>
    <row r="76" ht="55" customHeight="1">
      <c r="A76" s="37" t="n">
        <v>58</v>
      </c>
      <c r="B76" s="38" t="inlineStr">
        <is>
          <t>Keamanan</t>
        </is>
      </c>
      <c r="C76" s="39" t="inlineStr">
        <is>
          <t>Sertifikat SSL HTTPS Subdomain</t>
        </is>
      </c>
      <c r="D76" s="39" t="inlineStr">
        <is>
          <t>1. Cek address bar browser pada https://pro.instadeck.id</t>
        </is>
      </c>
      <c r="E76" s="39" t="inlineStr">
        <is>
          <t>Ikon gembok hijau/aman (SSL Valid), tidak ada warning 'Not Secure'.</t>
        </is>
      </c>
      <c r="F76" s="37" t="inlineStr">
        <is>
          <t>CRITICAL</t>
        </is>
      </c>
      <c r="G76" s="34" t="inlineStr">
        <is>
          <t>UNTESTED</t>
        </is>
      </c>
      <c r="H76" s="39" t="inlineStr"/>
      <c r="I76" s="40" t="inlineStr"/>
      <c r="J76" s="41" t="inlineStr"/>
    </row>
    <row r="77" ht="55" customHeight="1">
      <c r="A77" s="31" t="n">
        <v>59</v>
      </c>
      <c r="B77" s="32" t="inlineStr">
        <is>
          <t>Error Handle</t>
        </is>
      </c>
      <c r="C77" s="33" t="inlineStr">
        <is>
          <t>Input URL Rusak / Error 404</t>
        </is>
      </c>
      <c r="D77" s="33" t="inlineStr">
        <is>
          <t>1. Masukkan URL artikel asal/rusak
2. Klik Generate</t>
        </is>
      </c>
      <c r="E77" s="33" t="inlineStr">
        <is>
          <t>Sistem menampilkan pesan error yang ramah (misal: 'URL tidak dapat diakses') tanpa blank page.</t>
        </is>
      </c>
      <c r="F77" s="31" t="inlineStr">
        <is>
          <t>HIGH</t>
        </is>
      </c>
      <c r="G77" s="34" t="inlineStr">
        <is>
          <t>UNTESTED</t>
        </is>
      </c>
      <c r="H77" s="33" t="inlineStr"/>
      <c r="I77" s="35" t="inlineStr"/>
      <c r="J77" s="36" t="inlineStr"/>
    </row>
    <row r="78" ht="55" customHeight="1">
      <c r="A78" s="37" t="n">
        <v>60</v>
      </c>
      <c r="B78" s="38" t="inlineStr">
        <is>
          <t>Error Handle</t>
        </is>
      </c>
      <c r="C78" s="39" t="inlineStr">
        <is>
          <t>Koneksi Internet Terputus saat Generate</t>
        </is>
      </c>
      <c r="D78" s="39" t="inlineStr">
        <is>
          <t>1. Matikan WiFi/data saat proses generate berjalan</t>
        </is>
      </c>
      <c r="E78" s="39" t="inlineStr">
        <is>
          <t>Aplikasi menampilkan status retry / failed dengan sopan, tombol tidak stuck selamanya.</t>
        </is>
      </c>
      <c r="F78" s="37" t="inlineStr">
        <is>
          <t>MEDIUM</t>
        </is>
      </c>
      <c r="G78" s="34" t="inlineStr">
        <is>
          <t>UNTESTED</t>
        </is>
      </c>
      <c r="H78" s="39" t="inlineStr"/>
      <c r="I78" s="40" t="inlineStr"/>
      <c r="J78" s="41" t="inlineStr"/>
    </row>
  </sheetData>
  <mergeCells count="15">
    <mergeCell ref="A44:J44"/>
    <mergeCell ref="A75:J75"/>
    <mergeCell ref="A36:J36"/>
    <mergeCell ref="A31:J31"/>
    <mergeCell ref="A6:J6"/>
    <mergeCell ref="A18:J18"/>
    <mergeCell ref="A3:J3"/>
    <mergeCell ref="A69:J69"/>
    <mergeCell ref="A59:J59"/>
    <mergeCell ref="A48:J48"/>
    <mergeCell ref="A26:J26"/>
    <mergeCell ref="A65:J65"/>
    <mergeCell ref="A2:J2"/>
    <mergeCell ref="A54:J54"/>
    <mergeCell ref="A13:J13"/>
  </mergeCells>
  <conditionalFormatting sqref="G6:G79">
    <cfRule type="cellIs" priority="1" operator="equal" dxfId="0" stopIfTrue="1">
      <formula>"PASS"</formula>
    </cfRule>
    <cfRule type="cellIs" priority="2" operator="equal" dxfId="1" stopIfTrue="1">
      <formula>"FAIL"</formula>
    </cfRule>
    <cfRule type="cellIs" priority="3" operator="equal" dxfId="2" stopIfTrue="1">
      <formula>"IN PROGRESS"</formula>
    </cfRule>
    <cfRule type="cellIs" priority="4" operator="equal" dxfId="3" stopIfTrue="1">
      <formula>"UNTESTED"</formula>
    </cfRule>
    <cfRule type="cellIs" priority="5" operator="equal" dxfId="4" stopIfTrue="1">
      <formula>"BLOCKED"</formula>
    </cfRule>
  </conditionalFormatting>
  <dataValidations count="2">
    <dataValidation sqref="G7 G8 G9 G10 G11 G12 G14 G15 G16 G17 G19 G20 G21 G22 G23 G24 G25 G27 G28 G29 G30 G32 G33 G34 G35 G37 G38 G39 G40 G41 G42 G43 G45 G46 G47 G49 G50 G51 G52 G53 G55 G56 G57 G58 G60 G61 G62 G63 G64 G66 G67 G68 G70 G71 G72 G73 G74 G76 G77 G78" showDropDown="0" showInputMessage="0" showErrorMessage="0" allowBlank="1" errorTitle="Status Tidak Valid" error="Pilih status dari daftar: PASS, FAIL, IN PROGRESS, UNTESTED, BLOCKED" promptTitle="Status QC" prompt="Pilih status hasil pengetesan" type="list">
      <formula1>"PASS,FAIL,IN PROGRESS,UNTESTED,BLOCKED"</formula1>
    </dataValidation>
    <dataValidation sqref="F7 F8 F9 F10 F11 F12 F14 F15 F16 F17 F19 F20 F21 F22 F23 F24 F25 F27 F28 F29 F30 F32 F33 F34 F35 F37 F38 F39 F40 F41 F42 F43 F45 F46 F47 F49 F50 F51 F52 F53 F55 F56 F57 F58 F60 F61 F62 F63 F64 F66 F67 F68 F70 F71 F72 F73 F74 F76 F77 F78" showDropDown="0" showInputMessage="0" showErrorMessage="0" allowBlank="1" type="list">
      <formula1>"CRITICAL,HIGH,MEDIUM,LOW"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H14"/>
  <sheetViews>
    <sheetView showGridLines="1" workbookViewId="0">
      <selection activeCell="A1" sqref="A1"/>
    </sheetView>
  </sheetViews>
  <sheetFormatPr baseColWidth="8" defaultRowHeight="15"/>
  <cols>
    <col width="6" customWidth="1" min="1" max="1"/>
    <col width="22" customWidth="1" min="2" max="2"/>
    <col width="35" customWidth="1" min="3" max="3"/>
    <col width="40" customWidth="1" min="4" max="4"/>
    <col width="20" customWidth="1" min="5" max="5"/>
    <col width="16" customWidth="1" min="6" max="6"/>
    <col width="35" customWidth="1" min="7" max="7"/>
    <col width="20" customWidth="1" min="8" max="8"/>
  </cols>
  <sheetData>
    <row r="2">
      <c r="A2" s="42" t="inlineStr">
        <is>
          <t>📱 CHECKLIST PENGUJIAN KHUSUS TAMPILAN MOBILE &amp; SMARTPHONE</t>
        </is>
      </c>
    </row>
    <row r="3">
      <c r="A3" s="28" t="inlineStr">
        <is>
          <t>Gunakan checklist ini saat menguji langsung via browser HP (Chrome Android, Safari iOS, atau Mobile DevTools).</t>
        </is>
      </c>
    </row>
    <row r="5" ht="28" customHeight="1">
      <c r="A5" s="43" t="inlineStr">
        <is>
          <t>No</t>
        </is>
      </c>
      <c r="B5" s="43" t="inlineStr">
        <is>
          <t>Area / Layar HP</t>
        </is>
      </c>
      <c r="C5" s="43" t="inlineStr">
        <is>
          <t>Item Pemeriksaan Mobile</t>
        </is>
      </c>
      <c r="D5" s="43" t="inlineStr">
        <is>
          <t>Standar Kelulusan (Pass Criteria)</t>
        </is>
      </c>
      <c r="E5" s="43" t="inlineStr">
        <is>
          <t>Tipe Device yang Dites</t>
        </is>
      </c>
      <c r="F5" s="43" t="inlineStr">
        <is>
          <t>Status</t>
        </is>
      </c>
      <c r="G5" s="43" t="inlineStr">
        <is>
          <t>Catatan Temuan di HP</t>
        </is>
      </c>
      <c r="H5" s="43" t="inlineStr">
        <is>
          <t>Screenshot Bukti</t>
        </is>
      </c>
    </row>
    <row r="6" ht="45" customHeight="1">
      <c r="A6" s="31" t="n">
        <v>1</v>
      </c>
      <c r="B6" s="32" t="inlineStr">
        <is>
          <t>Header &amp; Navigasi</t>
        </is>
      </c>
      <c r="C6" s="33" t="inlineStr">
        <is>
          <t>Menu Header / Hamburger di HP</t>
        </is>
      </c>
      <c r="D6" s="33" t="inlineStr">
        <is>
          <t>Menu mudah dibuka, tidak ada icon yang tumpang tindih dengan logo atau status bar.</t>
        </is>
      </c>
      <c r="E6" s="35" t="inlineStr">
        <is>
          <t>Android &amp; iPhone</t>
        </is>
      </c>
      <c r="F6" s="34" t="inlineStr">
        <is>
          <t>UNTESTED</t>
        </is>
      </c>
      <c r="G6" s="44" t="inlineStr"/>
      <c r="H6" s="45" t="inlineStr"/>
    </row>
    <row r="7" ht="45" customHeight="1">
      <c r="A7" s="37" t="n">
        <v>2</v>
      </c>
      <c r="B7" s="38" t="inlineStr">
        <is>
          <t>Form Generator</t>
        </is>
      </c>
      <c r="C7" s="39" t="inlineStr">
        <is>
          <t>Hero Template Swiper di HP</t>
        </is>
      </c>
      <c r="D7" s="39" t="inlineStr">
        <is>
          <t>Bisa digeser halus dengan jari (touch swipe), tidak tersangkut, kartu template pas di layar.</t>
        </is>
      </c>
      <c r="E7" s="40" t="inlineStr">
        <is>
          <t>Android &amp; iPhone</t>
        </is>
      </c>
      <c r="F7" s="34" t="inlineStr">
        <is>
          <t>UNTESTED</t>
        </is>
      </c>
      <c r="G7" s="46" t="inlineStr"/>
      <c r="H7" s="47" t="inlineStr"/>
    </row>
    <row r="8" ht="45" customHeight="1">
      <c r="A8" s="31" t="n">
        <v>3</v>
      </c>
      <c r="B8" s="32" t="inlineStr">
        <is>
          <t>Form Generator</t>
        </is>
      </c>
      <c r="C8" s="33" t="inlineStr">
        <is>
          <t>Input Teks &amp; Virtual Keyboard</t>
        </is>
      </c>
      <c r="D8" s="33" t="inlineStr">
        <is>
          <t>Saat keyboard HP muncul, form naik otomatis dan tombol Generate tidak tenggelam/tertutup.</t>
        </is>
      </c>
      <c r="E8" s="35" t="inlineStr">
        <is>
          <t>Android &amp; iPhone</t>
        </is>
      </c>
      <c r="F8" s="34" t="inlineStr">
        <is>
          <t>UNTESTED</t>
        </is>
      </c>
      <c r="G8" s="44" t="inlineStr"/>
      <c r="H8" s="45" t="inlineStr"/>
    </row>
    <row r="9" ht="45" customHeight="1">
      <c r="A9" s="37" t="n">
        <v>4</v>
      </c>
      <c r="B9" s="38" t="inlineStr">
        <is>
          <t>Katalog 32 Template</t>
        </is>
      </c>
      <c r="C9" s="39" t="inlineStr">
        <is>
          <t>Modal Katalog Template di HP</t>
        </is>
      </c>
      <c r="D9" s="39" t="inlineStr">
        <is>
          <t>Modal katalog terbuka full-screen/sheet, scrolling lancar, tombol 'Pilih Template' mudah ditekan.</t>
        </is>
      </c>
      <c r="E9" s="40" t="inlineStr">
        <is>
          <t>Android &amp; iPhone</t>
        </is>
      </c>
      <c r="F9" s="34" t="inlineStr">
        <is>
          <t>UNTESTED</t>
        </is>
      </c>
      <c r="G9" s="46" t="inlineStr"/>
      <c r="H9" s="47" t="inlineStr"/>
    </row>
    <row r="10" ht="45" customHeight="1">
      <c r="A10" s="31" t="n">
        <v>5</v>
      </c>
      <c r="B10" s="32" t="inlineStr">
        <is>
          <t>Studio Canvas</t>
        </is>
      </c>
      <c r="C10" s="33" t="inlineStr">
        <is>
          <t>Tampilan Slide Canvas di HP</t>
        </is>
      </c>
      <c r="D10" s="33" t="inlineStr">
        <is>
          <t>Slide Instagram (4:5) pas di layar HP tanpa perlu zoom in/out, teks tidak kepotong margin.</t>
        </is>
      </c>
      <c r="E10" s="35" t="inlineStr">
        <is>
          <t>Android &amp; iPhone</t>
        </is>
      </c>
      <c r="F10" s="34" t="inlineStr">
        <is>
          <t>UNTESTED</t>
        </is>
      </c>
      <c r="G10" s="44" t="inlineStr"/>
      <c r="H10" s="45" t="inlineStr"/>
    </row>
    <row r="11" ht="45" customHeight="1">
      <c r="A11" s="37" t="n">
        <v>6</v>
      </c>
      <c r="B11" s="38" t="inlineStr">
        <is>
          <t>Studio Toolbar</t>
        </is>
      </c>
      <c r="C11" s="39" t="inlineStr">
        <is>
          <t>Thumbnail Strip &amp; Navigasi Slide</t>
        </is>
      </c>
      <c r="D11" s="39" t="inlineStr">
        <is>
          <t>Thumbnail slide di bawah mudah digeser dengan jari, nomor slide aktif terlihat jelas.</t>
        </is>
      </c>
      <c r="E11" s="40" t="inlineStr">
        <is>
          <t>Android &amp; iPhone</t>
        </is>
      </c>
      <c r="F11" s="34" t="inlineStr">
        <is>
          <t>UNTESTED</t>
        </is>
      </c>
      <c r="G11" s="46" t="inlineStr"/>
      <c r="H11" s="47" t="inlineStr"/>
    </row>
    <row r="12" ht="45" customHeight="1">
      <c r="A12" s="31" t="n">
        <v>7</v>
      </c>
      <c r="B12" s="32" t="inlineStr">
        <is>
          <t>Tombol Aksi</t>
        </is>
      </c>
      <c r="C12" s="33" t="inlineStr">
        <is>
          <t>Touch Target Size (Ukuran Tombol)</t>
        </is>
      </c>
      <c r="D12" s="33" t="inlineStr">
        <is>
          <t>Semua tombol penting (Generate, Export, Edit, Regenerate) berukuran minimal 44x44px dan nyaman ditap.</t>
        </is>
      </c>
      <c r="E12" s="35" t="inlineStr">
        <is>
          <t>Android &amp; iPhone</t>
        </is>
      </c>
      <c r="F12" s="34" t="inlineStr">
        <is>
          <t>UNTESTED</t>
        </is>
      </c>
      <c r="G12" s="44" t="inlineStr"/>
      <c r="H12" s="45" t="inlineStr"/>
    </row>
    <row r="13" ht="45" customHeight="1">
      <c r="A13" s="37" t="n">
        <v>8</v>
      </c>
      <c r="B13" s="38" t="inlineStr">
        <is>
          <t>Export di HP</t>
        </is>
      </c>
      <c r="C13" s="39" t="inlineStr">
        <is>
          <t>Download ZIP / Gambar Langsung di HP</t>
        </is>
      </c>
      <c r="D13" s="39" t="inlineStr">
        <is>
          <t>Bisa download gambar langsung tersimpan ke Galeri / File Download HP.</t>
        </is>
      </c>
      <c r="E13" s="40" t="inlineStr">
        <is>
          <t>Android &amp; iPhone</t>
        </is>
      </c>
      <c r="F13" s="34" t="inlineStr">
        <is>
          <t>UNTESTED</t>
        </is>
      </c>
      <c r="G13" s="46" t="inlineStr"/>
      <c r="H13" s="47" t="inlineStr"/>
    </row>
    <row r="14" ht="45" customHeight="1">
      <c r="A14" s="31" t="n">
        <v>9</v>
      </c>
      <c r="B14" s="32" t="inlineStr">
        <is>
          <t>Responsivitas Layar Kecil</t>
        </is>
      </c>
      <c r="C14" s="33" t="inlineStr">
        <is>
          <t>Layar HP Kecil (360px - 390px)</t>
        </is>
      </c>
      <c r="D14" s="33" t="inlineStr">
        <is>
          <t>Teks tidak keluar dari card/border pada HP layar compact (misal: iPhone SE / Samsung A-series).</t>
        </is>
      </c>
      <c r="E14" s="35" t="inlineStr">
        <is>
          <t>Layar Kecil (&lt;390px)</t>
        </is>
      </c>
      <c r="F14" s="34" t="inlineStr">
        <is>
          <t>UNTESTED</t>
        </is>
      </c>
      <c r="G14" s="44" t="inlineStr"/>
      <c r="H14" s="45" t="inlineStr"/>
    </row>
  </sheetData>
  <mergeCells count="2">
    <mergeCell ref="A3:H3"/>
    <mergeCell ref="A2:H2"/>
  </mergeCells>
  <conditionalFormatting sqref="F6:F15">
    <cfRule type="cellIs" priority="1" operator="equal" dxfId="0" stopIfTrue="1">
      <formula>"PASS"</formula>
    </cfRule>
    <cfRule type="cellIs" priority="2" operator="equal" dxfId="1" stopIfTrue="1">
      <formula>"FAIL"</formula>
    </cfRule>
    <cfRule type="cellIs" priority="3" operator="equal" dxfId="2" stopIfTrue="1">
      <formula>"IN PROGRESS"</formula>
    </cfRule>
    <cfRule type="cellIs" priority="4" operator="equal" dxfId="3" stopIfTrue="1">
      <formula>"UNTESTED"</formula>
    </cfRule>
    <cfRule type="cellIs" priority="5" operator="equal" dxfId="4" stopIfTrue="1">
      <formula>"BLOCKED"</formula>
    </cfRule>
  </conditionalFormatting>
  <dataValidations count="1">
    <dataValidation sqref="F6 F7 F8 F9 F10 F11 F12 F13 F14" showDropDown="0" showInputMessage="0" showErrorMessage="0" allowBlank="1" type="list">
      <formula1>"PASS,FAIL,IN PROGRESS,UNTESTED,BLOCKED"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2026-09-13T17:03:22Z</dcterms:created>
  <dcterms:modified xmlns:dcterms="http://purl.org/dc/terms/" xmlns:xsi="http://www.w3.org/2001/XMLSchema-instance" xsi:type="dcterms:W3CDTF">2026-09-13T17:03:22Z</dcterms:modified>
</cp:coreProperties>
</file>